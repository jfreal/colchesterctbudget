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Summary" sheetId="1" state="visible" r:id="rId3"/>
    <sheet name="Year-over-Year Trends" sheetId="2" state="visible" r:id="rId4"/>
    <sheet name="FY 2024-25 Detail" sheetId="3" state="visible" r:id="rId5"/>
    <sheet name="Charts Data" sheetId="4" state="visible" r:id="rId6"/>
    <sheet name="Department Trends" sheetId="5" state="visible" r:id="rId7"/>
    <sheet name="Town vs BOE Growth" sheetId="6" state="visible" r:id="rId8"/>
    <sheet name="Inflation &amp; Population" sheetId="7" state="visible" r:id="rId9"/>
    <sheet name="Regional Comparison" sheetId="8" state="visible" r:id="rId10"/>
    <sheet name="Demographic Peers" sheetId="9" state="visible" r:id="rId11"/>
    <sheet name="ECS Analysis" sheetId="10" state="visible" r:id="rId12"/>
    <sheet name="Staffing &amp; Salary Analysi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<sst xmlns="http://schemas.openxmlformats.org/spreadsheetml/2006/main" count="742" uniqueCount="371">
  <si>
    <t xml:space="preserve">Town of Colchester, CT - Adopted Budget Analysis (FY 2007-08 to FY 2024-25)</t>
  </si>
  <si>
    <t xml:space="preserve">Fiscal Year</t>
  </si>
  <si>
    <t xml:space="preserve">Total Budget</t>
  </si>
  <si>
    <t xml:space="preserve">BOE Budget</t>
  </si>
  <si>
    <t xml:space="preserve">Town Budget</t>
  </si>
  <si>
    <t xml:space="preserve">Mill Rate</t>
  </si>
  <si>
    <t xml:space="preserve">Est. Non-Tax Revenue</t>
  </si>
  <si>
    <t xml:space="preserve">Property Tax Required</t>
  </si>
  <si>
    <t xml:space="preserve">YoY $ Change</t>
  </si>
  <si>
    <t xml:space="preserve">YoY % Change</t>
  </si>
  <si>
    <t xml:space="preserve">BOE % of Total</t>
  </si>
  <si>
    <t xml:space="preserve">Town % of Total</t>
  </si>
  <si>
    <t xml:space="preserve">FY 2007-08</t>
  </si>
  <si>
    <t xml:space="preserve">FY 2008-09</t>
  </si>
  <si>
    <t xml:space="preserve">FY 2009-10</t>
  </si>
  <si>
    <t xml:space="preserve">FY 2010-11</t>
  </si>
  <si>
    <t xml:space="preserve">FY 2011-12</t>
  </si>
  <si>
    <t xml:space="preserve">FY 2012-13</t>
  </si>
  <si>
    <t xml:space="preserve">FY 2013-14</t>
  </si>
  <si>
    <t xml:space="preserve">FY 2014-15</t>
  </si>
  <si>
    <t xml:space="preserve">FY 2015-16</t>
  </si>
  <si>
    <t xml:space="preserve">FY 2016-17</t>
  </si>
  <si>
    <t xml:space="preserve">FY 2017-18</t>
  </si>
  <si>
    <t xml:space="preserve">FY 2018-19</t>
  </si>
  <si>
    <t xml:space="preserve">FY 2019-20</t>
  </si>
  <si>
    <t xml:space="preserve">FY 2020-21</t>
  </si>
  <si>
    <t xml:space="preserve">FY 2021-22</t>
  </si>
  <si>
    <t xml:space="preserve">FY 2022-23</t>
  </si>
  <si>
    <t xml:space="preserve">FY 2023-24</t>
  </si>
  <si>
    <t xml:space="preserve">N/A</t>
  </si>
  <si>
    <t xml:space="preserve">FY 2024-25</t>
  </si>
  <si>
    <t xml:space="preserve">CAGR (FY 07-08 to 24-25)</t>
  </si>
  <si>
    <t xml:space="preserve">Year-over-Year Budget Trends</t>
  </si>
  <si>
    <t xml:space="preserve">Total Budget % Change</t>
  </si>
  <si>
    <t xml:space="preserve">BOE % Change</t>
  </si>
  <si>
    <t xml:space="preserve">Town % Change</t>
  </si>
  <si>
    <t xml:space="preserve">Mill Rate Change</t>
  </si>
  <si>
    <t xml:space="preserve">FY 2024-25 Budget Detail - Town of Colchester, CT</t>
  </si>
  <si>
    <t xml:space="preserve">TOWN EXPENDITURE BREAKDOWN</t>
  </si>
  <si>
    <t xml:space="preserve">Department</t>
  </si>
  <si>
    <t xml:space="preserve">Amount</t>
  </si>
  <si>
    <t xml:space="preserve">% of Town Budget</t>
  </si>
  <si>
    <t xml:space="preserve">General Government</t>
  </si>
  <si>
    <t xml:space="preserve">Public Safety</t>
  </si>
  <si>
    <t xml:space="preserve">Public Works</t>
  </si>
  <si>
    <t xml:space="preserve">Community &amp; Human Services</t>
  </si>
  <si>
    <t xml:space="preserve">Debt Service</t>
  </si>
  <si>
    <t xml:space="preserve">Transfers</t>
  </si>
  <si>
    <t xml:space="preserve">TOTAL TOWN BUDGET</t>
  </si>
  <si>
    <t xml:space="preserve">REVENUE BREAKDOWN</t>
  </si>
  <si>
    <t xml:space="preserve">Revenue Source</t>
  </si>
  <si>
    <t xml:space="preserve">% of Total</t>
  </si>
  <si>
    <t xml:space="preserve">Property Taxes</t>
  </si>
  <si>
    <t xml:space="preserve">Intergovernmental</t>
  </si>
  <si>
    <t xml:space="preserve">Charges for Services</t>
  </si>
  <si>
    <t xml:space="preserve">Other</t>
  </si>
  <si>
    <t xml:space="preserve">TOTAL REVENUE</t>
  </si>
  <si>
    <t xml:space="preserve">Chart Data - Total Budget Over Time</t>
  </si>
  <si>
    <t xml:space="preserve">BOE vs Town Budget</t>
  </si>
  <si>
    <t xml:space="preserve">Department Expenditure Trends - Adopted Budgets</t>
  </si>
  <si>
    <t xml:space="preserve">General
Government</t>
  </si>
  <si>
    <t xml:space="preserve">Public
Safety</t>
  </si>
  <si>
    <t xml:space="preserve">Public
Works</t>
  </si>
  <si>
    <t xml:space="preserve">Comm &amp;
Human Svcs</t>
  </si>
  <si>
    <t xml:space="preserve">Debt
Service</t>
  </si>
  <si>
    <t xml:space="preserve">Transfers/
Capital</t>
  </si>
  <si>
    <t xml:space="preserve">Total Town</t>
  </si>
  <si>
    <t xml:space="preserve">Board of
Education</t>
  </si>
  <si>
    <t xml:space="preserve">Grand Total</t>
  </si>
  <si>
    <t xml:space="preserve">Note: For FY 07-08 through 11-12, CHS combines the former 'Human Services' and 'Civic &amp; Cultural' categories.</t>
  </si>
  <si>
    <t xml:space="preserve">Growth Analysis (FY 2007-08 to FY 2024-25)</t>
  </si>
  <si>
    <t xml:space="preserve">Total $ Change</t>
  </si>
  <si>
    <t xml:space="preserve">Total % Change</t>
  </si>
  <si>
    <t xml:space="preserve">CAGR (17-year)</t>
  </si>
  <si>
    <t xml:space="preserve">Growth Ranking by CAGR (Operating Departments)</t>
  </si>
  <si>
    <t xml:space="preserve">Rank</t>
  </si>
  <si>
    <t xml:space="preserve">CAGR</t>
  </si>
  <si>
    <t xml:space="preserve">Total $ Growth</t>
  </si>
  <si>
    <t xml:space="preserve">Total % Growth</t>
  </si>
  <si>
    <t xml:space="preserve">Board of Education</t>
  </si>
  <si>
    <t xml:space="preserve">Comm &amp; Human Services</t>
  </si>
  <si>
    <t xml:space="preserve">Year-over-Year % Change by Department</t>
  </si>
  <si>
    <t xml:space="preserve">Town vs Board of Education - Year-over-Year Growth Comparison</t>
  </si>
  <si>
    <t xml:space="preserve">Town YoY $</t>
  </si>
  <si>
    <t xml:space="preserve">Town YoY %</t>
  </si>
  <si>
    <t xml:space="preserve">BOE YoY $</t>
  </si>
  <si>
    <t xml:space="preserve">BOE YoY %</t>
  </si>
  <si>
    <t xml:space="preserve">Summary Statistics</t>
  </si>
  <si>
    <t xml:space="preserve">Metric</t>
  </si>
  <si>
    <t xml:space="preserve">Town</t>
  </si>
  <si>
    <t xml:space="preserve">BOE</t>
  </si>
  <si>
    <t xml:space="preserve">FY 2007-08 Budget</t>
  </si>
  <si>
    <t xml:space="preserve">FY 2024-25 Budget</t>
  </si>
  <si>
    <t xml:space="preserve">Avg Annual YoY %</t>
  </si>
  <si>
    <t xml:space="preserve">Max Single-Year %</t>
  </si>
  <si>
    <t xml:space="preserve">Min Single-Year %</t>
  </si>
  <si>
    <t xml:space="preserve">Share of Total (FY 07-08)</t>
  </si>
  <si>
    <t xml:space="preserve">Share of Total (FY 24-25)</t>
  </si>
  <si>
    <t xml:space="preserve">CPI Rate</t>
  </si>
  <si>
    <t xml:space="preserve">CPI Index</t>
  </si>
  <si>
    <t xml:space="preserve">Population</t>
  </si>
  <si>
    <t xml:space="preserve">Pop Index</t>
  </si>
  <si>
    <t xml:space="preserve">Budget Index</t>
  </si>
  <si>
    <t xml:space="preserve">Per Capita (Nominal)</t>
  </si>
  <si>
    <t xml:space="preserve">Per Capita (Real $)</t>
  </si>
  <si>
    <t xml:space="preserve">Real PC Index</t>
  </si>
  <si>
    <t xml:space="preserve">FY 07-08</t>
  </si>
  <si>
    <t xml:space="preserve">FY 08-09</t>
  </si>
  <si>
    <t xml:space="preserve">FY 09-10</t>
  </si>
  <si>
    <t xml:space="preserve">FY 10-11</t>
  </si>
  <si>
    <t xml:space="preserve">FY 11-12</t>
  </si>
  <si>
    <t xml:space="preserve">FY 12-13</t>
  </si>
  <si>
    <t xml:space="preserve">FY 13-14</t>
  </si>
  <si>
    <t xml:space="preserve">FY 14-15</t>
  </si>
  <si>
    <t xml:space="preserve">FY 15-16</t>
  </si>
  <si>
    <t xml:space="preserve">FY 16-17</t>
  </si>
  <si>
    <t xml:space="preserve">FY 17-18</t>
  </si>
  <si>
    <t xml:space="preserve">FY 18-19</t>
  </si>
  <si>
    <t xml:space="preserve">FY 19-20</t>
  </si>
  <si>
    <t xml:space="preserve">FY 20-21</t>
  </si>
  <si>
    <t xml:space="preserve">FY 21-22</t>
  </si>
  <si>
    <t xml:space="preserve">FY 22-23</t>
  </si>
  <si>
    <t xml:space="preserve">FY 23-24</t>
  </si>
  <si>
    <t xml:space="preserve">FY 24-25</t>
  </si>
  <si>
    <t xml:space="preserve">KEY FINDINGS</t>
  </si>
  <si>
    <t xml:space="preserve">Total Budget Growth (18 yrs):</t>
  </si>
  <si>
    <t xml:space="preserve">Cumulative CPI Inflation:</t>
  </si>
  <si>
    <t xml:space="preserve">Budget Growth vs Inflation Gap:</t>
  </si>
  <si>
    <t xml:space="preserve">Population Change:</t>
  </si>
  <si>
    <t xml:space="preserve">Real Per-Capita Spending Change:</t>
  </si>
  <si>
    <t xml:space="preserve">Budget CAGR:</t>
  </si>
  <si>
    <t xml:space="preserve">CPI Average Annual Rate:</t>
  </si>
  <si>
    <t xml:space="preserve">SECTION 1: Mill Rate Comparison — FY 2024-25</t>
  </si>
  <si>
    <t xml:space="preserve">(Note: Mill rates are affected by revaluation cycles. Towns with recent revaluations may show lower rates.)</t>
  </si>
  <si>
    <t xml:space="preserve">FY 24-25 Mill Rate</t>
  </si>
  <si>
    <t xml:space="preserve">Population (2024)</t>
  </si>
  <si>
    <t xml:space="preserve">Total Budget (FY 24-25)</t>
  </si>
  <si>
    <t xml:space="preserve">Per Capita Budget</t>
  </si>
  <si>
    <t xml:space="preserve">Rank (Mill Rate)</t>
  </si>
  <si>
    <t xml:space="preserve">Colchester</t>
  </si>
  <si>
    <t xml:space="preserve">3 of 7</t>
  </si>
  <si>
    <t xml:space="preserve">East Hampton</t>
  </si>
  <si>
    <t xml:space="preserve">7 of 7</t>
  </si>
  <si>
    <t xml:space="preserve">Hebron</t>
  </si>
  <si>
    <t xml:space="preserve">5 of 7</t>
  </si>
  <si>
    <t xml:space="preserve">Salem</t>
  </si>
  <si>
    <t xml:space="preserve">4 of 7</t>
  </si>
  <si>
    <t xml:space="preserve">Marlborough</t>
  </si>
  <si>
    <t xml:space="preserve">6 of 7</t>
  </si>
  <si>
    <t xml:space="preserve">East Haddam</t>
  </si>
  <si>
    <t xml:space="preserve">2 of 7</t>
  </si>
  <si>
    <t xml:space="preserve">Lebanon</t>
  </si>
  <si>
    <t xml:space="preserve">1 of 7</t>
  </si>
  <si>
    <t xml:space="preserve">Average (excl. Colchester)</t>
  </si>
  <si>
    <t xml:space="preserve">SECTION 2: East Haddam vs Colchester — Mill Rate History</t>
  </si>
  <si>
    <t xml:space="preserve">Colchester Mill Rate</t>
  </si>
  <si>
    <t xml:space="preserve">East Haddam Mill Rate</t>
  </si>
  <si>
    <t xml:space="preserve">Colchester Lower?</t>
  </si>
  <si>
    <t xml:space="preserve">No</t>
  </si>
  <si>
    <t xml:space="preserve">Yes — Colchester Higher</t>
  </si>
  <si>
    <t xml:space="preserve">SECTION 3: Key Findings — How Colchester Compares</t>
  </si>
  <si>
    <t xml:space="preserve">1. Colchester's FY 24-25 mill rate (28.67) is the 3rd lowest among 7 neighboring towns.</t>
  </si>
  <si>
    <t xml:space="preserve">2. Only Lebanon (21.00, post-2023 reval) and East Haddam (26.76, post-2022 reval) are lower.</t>
  </si>
  <si>
    <t xml:space="preserve">3. The average mill rate for neighboring towns (excl. Colchester) is ~31.1 — Colchester is 8% below average.</t>
  </si>
  <si>
    <t xml:space="preserve">4. Colchester's 18-year budget CAGR of 1.7% is well below the CPI inflation average of 2.7%.</t>
  </si>
  <si>
    <t xml:space="preserve">5. Mill rate comparisons should account for revaluation timing: Colchester's FY 22-23 revaluation reset rates from 33.05 to 26.82.</t>
  </si>
  <si>
    <t xml:space="preserve">6. East Hampton (38.04) and Marlborough (36.29) have significantly higher mill rates than Colchester.</t>
  </si>
  <si>
    <t xml:space="preserve">7. Per capita spending varies: Colchester at ~$3,979 is comparable to East Hampton (~$4,326) and Hebron (~$4,471).</t>
  </si>
  <si>
    <t xml:space="preserve">8. Colchester has maintained fiscal discipline with real per-capita spending declining 13.1% over 18 years.</t>
  </si>
  <si>
    <t xml:space="preserve">DEMOGRAPHIC PEER COMPARISON</t>
  </si>
  <si>
    <t xml:space="preserve">CT towns selected for similar population (12,000-18,000), median household income ($100K-$135K), and suburban/semi-rural character</t>
  </si>
  <si>
    <t xml:space="preserve">Median HH Income</t>
  </si>
  <si>
    <t xml:space="preserve">Mill Rate FY</t>
  </si>
  <si>
    <t xml:space="preserve">County/Region</t>
  </si>
  <si>
    <t xml:space="preserve">Character</t>
  </si>
  <si>
    <t xml:space="preserve">Reval Note</t>
  </si>
  <si>
    <t xml:space="preserve">New London</t>
  </si>
  <si>
    <t xml:space="preserve">Suburban-Rural</t>
  </si>
  <si>
    <t xml:space="preserve">Reval FY 22-23</t>
  </si>
  <si>
    <t xml:space="preserve">Ellington</t>
  </si>
  <si>
    <t xml:space="preserve">Tolland</t>
  </si>
  <si>
    <t xml:space="preserve">Suburban</t>
  </si>
  <si>
    <t xml:space="preserve">Wolcott</t>
  </si>
  <si>
    <t xml:space="preserve">FY 25-26</t>
  </si>
  <si>
    <t xml:space="preserve">New Haven</t>
  </si>
  <si>
    <t xml:space="preserve">Reval FY 25-26</t>
  </si>
  <si>
    <t xml:space="preserve">Ledyard</t>
  </si>
  <si>
    <t xml:space="preserve">Suffield</t>
  </si>
  <si>
    <t xml:space="preserve">Hartford</t>
  </si>
  <si>
    <t xml:space="preserve">Middlesex</t>
  </si>
  <si>
    <t xml:space="preserve">Plainfield</t>
  </si>
  <si>
    <t xml:space="preserve">Windham</t>
  </si>
  <si>
    <t xml:space="preserve">Rural</t>
  </si>
  <si>
    <t xml:space="preserve">PEER STATISTICS</t>
  </si>
  <si>
    <t xml:space="preserve">Colchester Mill Rate:</t>
  </si>
  <si>
    <t xml:space="preserve">Peer Average Mill Rate (excl. Colchester):</t>
  </si>
  <si>
    <t xml:space="preserve">Colchester vs Peer Avg:</t>
  </si>
  <si>
    <t xml:space="preserve">Peers with HIGHER mill rate than Colchester:</t>
  </si>
  <si>
    <t xml:space="preserve">Peers with LOWER mill rate than Colchester:</t>
  </si>
  <si>
    <t xml:space="preserve">Colchester Population:</t>
  </si>
  <si>
    <t xml:space="preserve">Peer Average Population:</t>
  </si>
  <si>
    <t xml:space="preserve">Colchester Median HH Income:</t>
  </si>
  <si>
    <t xml:space="preserve">Peer Average HH Income:</t>
  </si>
  <si>
    <t xml:space="preserve">KEY NARRATIVE POINTS</t>
  </si>
  <si>
    <t xml:space="preserve">1. Among 7 demographic peer towns, Colchester has one of the LOWEST mill rates at 28.67.</t>
  </si>
  <si>
    <t xml:space="preserve">2. Only Suffield (23.41) and Tolland (27.19) are lower — both just underwent FY 25-26 revaluations that reset rates down.</t>
  </si>
  <si>
    <t xml:space="preserve">3. Ellington (37.10), Ledyard (37.14), East Hampton (38.04), and Wolcott (35.93) all have SIGNIFICANTLY higher rates.</t>
  </si>
  <si>
    <t xml:space="preserve">4. Colchester's mill rate is approximately 8-10% BELOW the peer average — even including post-reval towns.</t>
  </si>
  <si>
    <t xml:space="preserve">5. When comparing ONLY non-reval years (apples-to-apples), Colchester's rate is 20-25% below peers like Ellington, Ledyard, and East Hampton.</t>
  </si>
  <si>
    <t xml:space="preserve">6. Colchester's 18-year budget CAGR of just 1.7% (vs 2.7% CPI average) demonstrates sustained fiscal discipline.</t>
  </si>
  <si>
    <t xml:space="preserve">7. Real per-capita spending has DECLINED 13.1% over 18 years — taxpayers are getting more value for less money.</t>
  </si>
  <si>
    <t xml:space="preserve">8. Important: Mill rate comparisons should account for revaluation timing. Colchester had its most recent revaluation in FY 22-23.</t>
  </si>
  <si>
    <t xml:space="preserve">PER CAPITA SPENDING COMPARISON — DEMOGRAPHIC PEERS</t>
  </si>
  <si>
    <t xml:space="preserve">Per Capita</t>
  </si>
  <si>
    <t xml:space="preserve">vs Colchester</t>
  </si>
  <si>
    <t xml:space="preserve">Data Source</t>
  </si>
  <si>
    <t xml:space="preserve">Adopted budget PDFs</t>
  </si>
  <si>
    <t xml:space="preserve">Patch.com budget referendum</t>
  </si>
  <si>
    <t xml:space="preserve">Town budget documents</t>
  </si>
  <si>
    <t xml:space="preserve">Est. from FY 25-26 proposal</t>
  </si>
  <si>
    <t xml:space="preserve">Town budget referendum flyer</t>
  </si>
  <si>
    <t xml:space="preserve">Peer Average (excl. Colchester)</t>
  </si>
  <si>
    <t xml:space="preserve">Colchester has the LOWEST per capita spending among all demographic peer towns with available data.</t>
  </si>
  <si>
    <t xml:space="preserve">ECS (Education Cost Sharing) Funding Analysis</t>
  </si>
  <si>
    <t xml:space="preserve">Colchester, CT — FY 2007-08 through FY 2024-25</t>
  </si>
  <si>
    <t xml:space="preserve">Source: Adopted Budget PDFs, CT State Dept of Education, BLS CPI-U</t>
  </si>
  <si>
    <t xml:space="preserve">Section 1: ECS Revenue History</t>
  </si>
  <si>
    <t xml:space="preserve">Actual ECS</t>
  </si>
  <si>
    <t xml:space="preserve">CPI Index
(2008=100)</t>
  </si>
  <si>
    <t xml:space="preserve">Inflation-Adj
ECS (from FY08)</t>
  </si>
  <si>
    <t xml:space="preserve">Annual Gap
vs Inflation</t>
  </si>
  <si>
    <t xml:space="preserve">Cumulative Gap
vs Inflation</t>
  </si>
  <si>
    <t xml:space="preserve">ECS as %
of BOE Budget</t>
  </si>
  <si>
    <t xml:space="preserve">YoY ECS
Change</t>
  </si>
  <si>
    <t xml:space="preserve">—</t>
  </si>
  <si>
    <t xml:space="preserve">Section 2: Key Findings</t>
  </si>
  <si>
    <t xml:space="preserve">Peak ECS Funding (FY 2013-14)</t>
  </si>
  <si>
    <t xml:space="preserve">Current ECS Funding (FY 2024-25)</t>
  </si>
  <si>
    <t xml:space="preserve">Nominal Decline from Peak</t>
  </si>
  <si>
    <t xml:space="preserve">% Decline from Peak</t>
  </si>
  <si>
    <t xml:space="preserve">Inflation-Adjusted ECS Should Be (FY 24-25)</t>
  </si>
  <si>
    <t xml:space="preserve">Real Purchasing Power Loss vs FY 07-08</t>
  </si>
  <si>
    <t xml:space="preserve">Cumulative Gap (All Years Sum)</t>
  </si>
  <si>
    <t xml:space="preserve">ECS Share of BOE: FY 07-08</t>
  </si>
  <si>
    <t xml:space="preserve">ECS Share of BOE: FY 24-25</t>
  </si>
  <si>
    <t xml:space="preserve">ECS Share Decline</t>
  </si>
  <si>
    <t xml:space="preserve">Years ECS Frozen at Current Level</t>
  </si>
  <si>
    <t xml:space="preserve">Section 3: Cumulative Loss from Peak (FY 2013-14)</t>
  </si>
  <si>
    <t xml:space="preserve">Peak ECS
(FY 13-14)</t>
  </si>
  <si>
    <t xml:space="preserve">CPI Adjustment
Factor</t>
  </si>
  <si>
    <t xml:space="preserve">Inflation-Adj
Peak ECS</t>
  </si>
  <si>
    <t xml:space="preserve">Annual Loss
vs Adj Peak</t>
  </si>
  <si>
    <t xml:space="preserve">Cumulative
Loss from Peak</t>
  </si>
  <si>
    <t xml:space="preserve">TOTAL CUMULATIVE LOSS</t>
  </si>
  <si>
    <t xml:space="preserve">Notes:</t>
  </si>
  <si>
    <t xml:space="preserve">• FY 2010-11 ECS was reduced due to state budget cuts; $1.93M was offset by Federal ARRA stimulus funds</t>
  </si>
  <si>
    <t xml:space="preserve">• Colchester is classified as "overfunded" under the ECS formula and has been "held harmless" since FY 2020-21</t>
  </si>
  <si>
    <t xml:space="preserve">• The CT Conference of Municipalities estimates $820M in missed inflationary adjustments statewide since 2013</t>
  </si>
  <si>
    <t xml:space="preserve">• FY 2023-24 ECS assumed same as FY 2022-23 based on hold-harmless provision; no separate budget PDF available</t>
  </si>
  <si>
    <t xml:space="preserve">• CPI-U data from Bureau of Labor Statistics; FY 2024-25 uses projected 2025 CPI</t>
  </si>
  <si>
    <t xml:space="preserve">Staffing &amp; Salary Analysis — Colchester BOE</t>
  </si>
  <si>
    <t xml:space="preserve">FY 2008-09 through FY 2024-25 | Sources: CT EdSight, NCES, Budget PDFs, CT TRS</t>
  </si>
  <si>
    <t xml:space="preserve">Note: EdSight verified data available for FY 2019-20 and FY 2022-23 through 2024-25. Earlier years estimated from enrollment trends and NCES ratios.</t>
  </si>
  <si>
    <t xml:space="preserve">Section 1: Enrollment, Staffing, and Ratios</t>
  </si>
  <si>
    <t xml:space="preserve">Student
Enrollment</t>
  </si>
  <si>
    <t xml:space="preserve">Teacher
FTE</t>
  </si>
  <si>
    <t xml:space="preserve">Admin
FTE</t>
  </si>
  <si>
    <t xml:space="preserve">Students
per Teacher</t>
  </si>
  <si>
    <t xml:space="preserve">Students
per Admin</t>
  </si>
  <si>
    <t xml:space="preserve">Admin per
100 Teachers</t>
  </si>
  <si>
    <t xml:space="preserve">Avg Teacher
Salary</t>
  </si>
  <si>
    <t xml:space="preserve">Avg Admin
Salary</t>
  </si>
  <si>
    <t xml:space="preserve">Admin/Teacher
Salary Ratio</t>
  </si>
  <si>
    <t xml:space="preserve">BOE Cost
per Student</t>
  </si>
  <si>
    <t xml:space="preserve">Admin as %
of Teachers</t>
  </si>
  <si>
    <t xml:space="preserve">Enrollment Change</t>
  </si>
  <si>
    <t xml:space="preserve">Teacher FTE Change</t>
  </si>
  <si>
    <t xml:space="preserve">Admin FTE Change</t>
  </si>
  <si>
    <t xml:space="preserve">Teacher Salary Growth (total)</t>
  </si>
  <si>
    <t xml:space="preserve">Admin Salary Growth (total)</t>
  </si>
  <si>
    <t xml:space="preserve">BOE Cost per Student Change</t>
  </si>
  <si>
    <t xml:space="preserve">Students per Teacher: FY 08-09</t>
  </si>
  <si>
    <t xml:space="preserve">Students per Teacher: FY 24-25</t>
  </si>
  <si>
    <t xml:space="preserve">Students per Admin: FY 08-09</t>
  </si>
  <si>
    <t xml:space="preserve">Students per Admin: FY 24-25</t>
  </si>
  <si>
    <t xml:space="preserve">Admins per 100 Teachers: FY 08-09</t>
  </si>
  <si>
    <t xml:space="preserve">Admins per 100 Teachers: FY 24-25</t>
  </si>
  <si>
    <t xml:space="preserve">BOE Cost per Student: FY 08-09</t>
  </si>
  <si>
    <t xml:space="preserve">BOE Cost per Student: FY 24-25</t>
  </si>
  <si>
    <t xml:space="preserve">Section 3: EdSight Verified Staffing Detail (Official CT DOE Data)</t>
  </si>
  <si>
    <t xml:space="preserve">Category</t>
  </si>
  <si>
    <t xml:space="preserve">Gen Ed Teachers</t>
  </si>
  <si>
    <t xml:space="preserve">Spec Ed Teachers</t>
  </si>
  <si>
    <t xml:space="preserve">Total Teachers (classroom)</t>
  </si>
  <si>
    <t xml:space="preserve">Gen Ed Paraprofessionals</t>
  </si>
  <si>
    <t xml:space="preserve">Spec Ed Paraprofessionals</t>
  </si>
  <si>
    <t xml:space="preserve">Admin - Central Office</t>
  </si>
  <si>
    <t xml:space="preserve">Admin - School Level</t>
  </si>
  <si>
    <t xml:space="preserve">Total Administrators</t>
  </si>
  <si>
    <t xml:space="preserve">Instructional Specialists</t>
  </si>
  <si>
    <t xml:space="preserve">Counselors/SW/Psychologists</t>
  </si>
  <si>
    <t xml:space="preserve">School Nurses</t>
  </si>
  <si>
    <t xml:space="preserve">Library/Media (Certified)</t>
  </si>
  <si>
    <t xml:space="preserve">Other Non-Instructional</t>
  </si>
  <si>
    <t xml:space="preserve">Student Enrollment</t>
  </si>
  <si>
    <t xml:space="preserve">Student-Teacher Ratio</t>
  </si>
  <si>
    <t xml:space="preserve">Data Sources &amp; Notes:</t>
  </si>
  <si>
    <t xml:space="preserve">• EdSight verified data: CT State Dept of Education, public-edsight.ct.gov/educators/fte-staffing</t>
  </si>
  <si>
    <t xml:space="preserve">• Enrollment data: Extracted directly from Colchester adopted budget PDFs (town profile pages)</t>
  </si>
  <si>
    <t xml:space="preserve">• FY 2012-13 through 2015-16 enrollment interpolated between 3,210 (FY 2011-12) and 2,727 (FY 2016-17)</t>
  </si>
  <si>
    <t xml:space="preserve">• Teacher FTE for years before FY 2019-20 estimated from enrollment trends and CT avg student-teacher ratios</t>
  </si>
  <si>
    <t xml:space="preserve">• Average teacher salary: FY 2018-19 from CT TRS data ($78,804), FY 2022-23 from Niche.com ($82,554)</t>
  </si>
  <si>
    <t xml:space="preserve">• Average admin salary estimated from Salary.com benchmarks and GovSalaries.com data</t>
  </si>
  <si>
    <t xml:space="preserve">• "Administrators" includes central office admins, coordinators, dept chairs, and school-level admins</t>
  </si>
  <si>
    <t xml:space="preserve">• Admin FTE variability between years may reflect reclassification of positions (coordinators vs specialists)</t>
  </si>
  <si>
    <t xml:space="preserve">• Colchester BOE highest individual salary in 2024: $96,130 (GovSalaries.com)</t>
  </si>
  <si>
    <t xml:space="preserve">• CT statewide average teacher salary: $86,511 (connecticut.teach.org)</t>
  </si>
  <si>
    <t xml:space="preserve">SECTION 4: STAFFING DATA — VERIFIED FROM CT EDSIGHT FTE STAFFING CSV REPORTS</t>
  </si>
  <si>
    <t xml:space="preserve">Enrollment</t>
  </si>
  <si>
    <t xml:space="preserve">Gen Ed
Teachers</t>
  </si>
  <si>
    <t xml:space="preserve">Sped
Teachers</t>
  </si>
  <si>
    <t xml:space="preserve">Total
Teachers</t>
  </si>
  <si>
    <t xml:space="preserve">School
Admin</t>
  </si>
  <si>
    <t xml:space="preserve">Central
Admin</t>
  </si>
  <si>
    <t xml:space="preserve">Total Admin
(Narrow)</t>
  </si>
  <si>
    <t xml:space="preserve">Instr.
Specialists</t>
  </si>
  <si>
    <t xml:space="preserve">Admin+Spec
(Broad)</t>
  </si>
  <si>
    <t xml:space="preserve">S/T
Ratio</t>
  </si>
  <si>
    <t xml:space="preserve">S/A Ratio
(Narrow)</t>
  </si>
  <si>
    <t xml:space="preserve">Source</t>
  </si>
  <si>
    <t xml:space="preserve">School verified (CSV); central office estimated</t>
  </si>
  <si>
    <t xml:space="preserve">All verified (EdSight CSV + district report)</t>
  </si>
  <si>
    <t xml:space="preserve">Change (FY 08-09 → FY 24-25)</t>
  </si>
  <si>
    <t xml:space="preserve">Data Sources:</t>
  </si>
  <si>
    <t xml:space="preserve">• Teachers (Gen Ed + Sped), School Admin, Instructional Specialists: CT EdSight FTE Staffing CSV Reports (all 17 years verified)</t>
  </si>
  <si>
    <t xml:space="preserve">• Central Office Admin: EdSight district aggregate reports (verified FY 19-20 = 4.0, FY 22-23 onward = 2.8; pre-2019 estimated ~4.0)</t>
  </si>
  <si>
    <t xml:space="preserve">• Enrollment: Town of Colchester Adopted Budget documents (town profile sections)</t>
  </si>
  <si>
    <t xml:space="preserve">Blue text with green background = verified from official source. Gray italic = estimated.</t>
  </si>
  <si>
    <t xml:space="preserve">School-level admin = principals, assistant principals, department chairs. Central office = superintendent, asst supt, directors.</t>
  </si>
  <si>
    <t xml:space="preserve">Instructional specialists = literacy coaches, math coaches, curriculum coordinators, data specialists.</t>
  </si>
  <si>
    <t xml:space="preserve">SECTION 5: SPECIAL EDUCATION STAFFING — VERIFIED FROM CT EDSIGHT FTE STAFFING CSV REPORTS</t>
  </si>
  <si>
    <t xml:space="preserve">Sped
Paras</t>
  </si>
  <si>
    <t xml:space="preserve">Total
Sped Staff</t>
  </si>
  <si>
    <t xml:space="preserve">Gen Ed
Paras</t>
  </si>
  <si>
    <t xml:space="preserve">Counselors
/Psych</t>
  </si>
  <si>
    <t xml:space="preserve">Nurses</t>
  </si>
  <si>
    <t xml:space="preserve">Total
Staff</t>
  </si>
  <si>
    <t xml:space="preserve">Sped %
of Total</t>
  </si>
  <si>
    <t xml:space="preserve">Key Findings:</t>
  </si>
  <si>
    <t xml:space="preserve">• Sped teachers: 26.5 → 28.0 FTE (+5.7%) — essentially flat despite enrollment declining 31.6%</t>
  </si>
  <si>
    <t xml:space="preserve">• Sped paraprofessionals: 50.0 → 65.0 FTE (+30%) — the largest growth area</t>
  </si>
  <si>
    <t xml:space="preserve">• Total sped staff: 76.5 → 93.0 FTE (+21.6%) while enrollment dropped 31.6%</t>
  </si>
  <si>
    <t xml:space="preserve">• Sped as % of total staff: grew from 17.4% to 19.6%</t>
  </si>
  <si>
    <t xml:space="preserve">• This reflects federal/state mandates (IDEA) — sped services are driven by IEP needs, not enrollment</t>
  </si>
  <si>
    <t xml:space="preserve">⚠ FY 24-25 Gen Ed Paraprofessionals jumped from 33 to 89 FTE — may reflect reclassification, not actual hiring</t>
  </si>
  <si>
    <t xml:space="preserve">All data from CT EdSight FTE Staffing CSV Reports (verified for all 17 years)</t>
  </si>
  <si>
    <t xml:space="preserve">SECTION 6: TOWN INSURANCE COSTS — EXTRACTED FROM ADOPTED BUDGET LINE ITEMS</t>
  </si>
  <si>
    <t xml:space="preserve">Health
Insurance</t>
  </si>
  <si>
    <t xml:space="preserve">Total Town
Insurance</t>
  </si>
  <si>
    <t xml:space="preserve">Town
Budget</t>
  </si>
  <si>
    <t xml:space="preserve">Insurance as
% of Budget</t>
  </si>
  <si>
    <t xml:space="preserve">Health Ins
(CPI-Adj)</t>
  </si>
  <si>
    <t xml:space="preserve">Change (FY 07-08 → FY 24-25)</t>
  </si>
  <si>
    <t xml:space="preserve">• Town health insurance grew 54.1% ($729K → $1.12M) — roughly tracking CPI inflation (51.3%)</t>
  </si>
  <si>
    <t xml:space="preserve">• Total town insurance grew 61.5% ($1.25M → $2.02M) — workers' comp drove the gap</t>
  </si>
  <si>
    <t xml:space="preserve">• Insurance as % of town budget rose from 7.4% to 9.9%</t>
  </si>
  <si>
    <t xml:space="preserve">• Multiple plan design renegotiations produced savings in FY 12-13, FY 14-15, and FY 15-16</t>
  </si>
  <si>
    <t xml:space="preserve">• BOE employee benefits were $4.49M (13.5% of BOE budget) in FY 07-08 — detailed breakdown not available for later years</t>
  </si>
  <si>
    <t xml:space="preserve">• FY 23-24 total insurance interpolated (budget PDF not available for that year)</t>
  </si>
  <si>
    <t xml:space="preserve">Health insurance amounts from budget comparison tables and adopted budget line items (Code 41211).</t>
  </si>
  <si>
    <t xml:space="preserve">Total insurance includes: health, workers' compensation, property/liability, and unemployment.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</si>
</sst>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"/>
    <numFmt numFmtId="166" formatCode="0.00"/>
    <numFmt numFmtId="167" formatCode="0.0%"/>
    <numFmt numFmtId="168" formatCode="\$#,##0;&quot;($&quot;#,##0\);\-"/>
    <numFmt numFmtId="169" formatCode="0.0"/>
    <numFmt numFmtId="170" formatCode="#,##0"/>
    <numFmt numFmtId="171" formatCode="0"/>
    <numFmt numFmtId="172" formatCode="0.0&quot;pp&quot;"/>
    <numFmt numFmtId="173" formatCode="0.000"/>
    <numFmt numFmtId="174" formatCode="0.00\x"/>
    <numFmt numFmtId="175" formatCode="\$#,##0"/>
  </numFmts>
  <fonts count="4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70C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mbria"/>
      <family val="0"/>
      <charset val="1"/>
    </font>
    <font>
      <sz val="10"/>
      <name val="Cambria"/>
      <family val="0"/>
      <charset val="1"/>
    </font>
    <font>
      <b val="true"/>
      <sz val="12"/>
      <color rgb="FF1A365D"/>
      <name val="Cambria"/>
      <family val="0"/>
      <charset val="1"/>
    </font>
    <font>
      <b val="true"/>
      <sz val="11"/>
      <color rgb="FF16A34A"/>
      <name val="Cambria"/>
      <family val="0"/>
      <charset val="1"/>
    </font>
    <font>
      <b val="true"/>
      <sz val="12"/>
      <color rgb="FF1A365D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1"/>
      <color rgb="FF16A34A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C0504D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999999"/>
      <name val="Arial"/>
      <family val="0"/>
      <charset val="1"/>
    </font>
    <font>
      <sz val="11"/>
      <color rgb="FF999999"/>
      <name val="Arial"/>
      <family val="0"/>
      <charset val="1"/>
    </font>
    <font>
      <b val="true"/>
      <sz val="11"/>
      <color rgb="FF5B21B6"/>
      <name val="Arial"/>
      <family val="0"/>
      <charset val="1"/>
    </font>
    <font>
      <i val="true"/>
      <sz val="10"/>
      <color rgb="FF94A3B8"/>
      <name val="Arial"/>
      <family val="0"/>
      <charset val="1"/>
    </font>
    <font>
      <sz val="8"/>
      <color rgb="FF64748B"/>
      <name val="Arial"/>
      <family val="0"/>
      <charset val="1"/>
    </font>
    <font>
      <sz val="8"/>
      <color rgb="FF16A34A"/>
      <name val="Arial"/>
      <family val="0"/>
      <charset val="1"/>
    </font>
    <font>
      <sz val="9"/>
      <color rgb="FF475569"/>
      <name val="Arial"/>
      <family val="0"/>
      <charset val="1"/>
    </font>
    <font>
      <b val="true"/>
      <sz val="11"/>
      <color rgb="FF991B1B"/>
      <name val="Arial"/>
      <family val="0"/>
      <charset val="1"/>
    </font>
    <font>
      <b val="true"/>
      <sz val="11"/>
      <color rgb="FF854D0E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1A365D"/>
      </patternFill>
    </fill>
    <fill>
      <patternFill patternType="solid">
        <fgColor rgb="FFD9E1F2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1A365D"/>
        <bgColor rgb="FF1F4E78"/>
      </patternFill>
    </fill>
    <fill>
      <patternFill patternType="solid">
        <fgColor rgb="FFF0FDF4"/>
        <bgColor rgb="FFE8F5E9"/>
      </patternFill>
    </fill>
    <fill>
      <patternFill patternType="solid">
        <fgColor rgb="FFE8F5E9"/>
        <bgColor rgb="FFE2EFDA"/>
      </patternFill>
    </fill>
    <fill>
      <patternFill patternType="solid">
        <fgColor rgb="FFD9E2F3"/>
        <bgColor rgb="FFD9E1F2"/>
      </patternFill>
    </fill>
    <fill>
      <patternFill patternType="solid">
        <fgColor rgb="FF4472C4"/>
        <bgColor rgb="FF64748B"/>
      </patternFill>
    </fill>
    <fill>
      <patternFill patternType="solid">
        <fgColor rgb="FFD6E4F0"/>
        <bgColor rgb="FFD9E2F3"/>
      </patternFill>
    </fill>
    <fill>
      <patternFill patternType="solid">
        <fgColor rgb="FFC0504D"/>
        <bgColor rgb="FFDC2626"/>
      </patternFill>
    </fill>
    <fill>
      <patternFill patternType="solid">
        <fgColor rgb="FF548235"/>
        <bgColor rgb="FF666666"/>
      </patternFill>
    </fill>
    <fill>
      <patternFill patternType="solid">
        <fgColor rgb="FFE2EFDA"/>
        <bgColor rgb="FFE8F5E9"/>
      </patternFill>
    </fill>
    <fill>
      <patternFill patternType="solid">
        <fgColor rgb="FF8B0000"/>
        <bgColor rgb="FF800000"/>
      </patternFill>
    </fill>
    <fill>
      <patternFill patternType="solid">
        <fgColor rgb="FFFEF2F2"/>
        <bgColor rgb="FFFFFBEB"/>
      </patternFill>
    </fill>
    <fill>
      <patternFill patternType="solid">
        <fgColor rgb="FF854D0E"/>
        <bgColor rgb="FFC0504D"/>
      </patternFill>
    </fill>
    <fill>
      <patternFill patternType="solid">
        <fgColor rgb="FFFFFBEB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rgb="FFD0D0D0"/>
      </bottom>
      <diagonal/>
    </border>
    <border diagonalUp="false" diagonalDown="false">
      <left/>
      <right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3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5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3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3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6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5B21B6"/>
      <rgbColor rgb="FF008080"/>
      <rgbColor rgb="FFD9E1F2"/>
      <rgbColor rgb="FF666666"/>
      <rgbColor rgb="FF94A3B8"/>
      <rgbColor rgb="FFC0504D"/>
      <rgbColor rgb="FFFFFBEB"/>
      <rgbColor rgb="FFE8F5E9"/>
      <rgbColor rgb="FF660066"/>
      <rgbColor rgb="FFFF8080"/>
      <rgbColor rgb="FF0070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E2EFDA"/>
      <rgbColor rgb="FFFEF2F2"/>
      <rgbColor rgb="FFD6E4F0"/>
      <rgbColor rgb="FFFF99CC"/>
      <rgbColor rgb="FFCC99FF"/>
      <rgbColor rgb="FFD9E2F3"/>
      <rgbColor rgb="FF4472C4"/>
      <rgbColor rgb="FF33CCCC"/>
      <rgbColor rgb="FF99CC00"/>
      <rgbColor rgb="FFFFCC00"/>
      <rgbColor rgb="FFFF9900"/>
      <rgbColor rgb="FFFF6600"/>
      <rgbColor rgb="FF64748B"/>
      <rgbColor rgb="FF999999"/>
      <rgbColor rgb="FF1A365D"/>
      <rgbColor rgb="FF16A34A"/>
      <rgbColor rgb="FF003300"/>
      <rgbColor rgb="FF333300"/>
      <rgbColor rgb="FF991B1B"/>
      <rgbColor rgb="FF854D0E"/>
      <rgbColor rgb="FF1F4E78"/>
      <rgbColor rgb="FF47556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4" min="3" style="1" width="14"/>
    <col collapsed="false" customWidth="true" hidden="false" outlineLevel="0" max="5" min="5" style="1" width="10"/>
    <col collapsed="false" customWidth="true" hidden="false" outlineLevel="0" max="7" min="6" style="1" width="20"/>
    <col collapsed="false" customWidth="true" hidden="false" outlineLevel="0" max="8" min="8" style="1" width="16"/>
    <col collapsed="false" customWidth="true" hidden="false" outlineLevel="0" max="11" min="9" style="1" width="14"/>
  </cols>
  <sheetData>
    <row r="1" customFormat="false" ht="24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34.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customFormat="false" ht="15" hidden="false" customHeight="true" outlineLevel="0" collapsed="false">
      <c r="A4" s="4" t="s">
        <v>12</v>
      </c>
      <c r="B4" s="5" t="n">
        <v>46940735</v>
      </c>
      <c r="C4" s="5" t="n">
        <v>33304385</v>
      </c>
      <c r="D4" s="5" t="n">
        <v>13636350</v>
      </c>
      <c r="E4" s="6" t="n">
        <v>23.01</v>
      </c>
      <c r="F4" s="5" t="n">
        <v>18606860</v>
      </c>
      <c r="G4" s="7" t="n">
        <f aca="false">B4-F4</f>
        <v>28333875</v>
      </c>
      <c r="H4" s="8"/>
      <c r="I4" s="9"/>
      <c r="J4" s="10" t="n">
        <f aca="false">C4/B4</f>
        <v>0.70949858369282</v>
      </c>
      <c r="K4" s="10" t="n">
        <f aca="false">D4/B4</f>
        <v>0.29050141630718</v>
      </c>
    </row>
    <row r="5" customFormat="false" ht="15" hidden="false" customHeight="true" outlineLevel="0" collapsed="false">
      <c r="A5" s="11" t="s">
        <v>13</v>
      </c>
      <c r="B5" s="12" t="n">
        <v>47634370</v>
      </c>
      <c r="C5" s="12" t="n">
        <v>34295413</v>
      </c>
      <c r="D5" s="12" t="n">
        <v>13338957</v>
      </c>
      <c r="E5" s="13" t="n">
        <v>23.01</v>
      </c>
      <c r="F5" s="12" t="n">
        <v>18785404</v>
      </c>
      <c r="G5" s="14" t="n">
        <f aca="false">B5-F5</f>
        <v>28848966</v>
      </c>
      <c r="H5" s="14" t="n">
        <f aca="false">B5-B4</f>
        <v>693635</v>
      </c>
      <c r="I5" s="15" t="n">
        <f aca="false">(B5-B4)/B4</f>
        <v>0.0147768244361747</v>
      </c>
      <c r="J5" s="15" t="n">
        <f aca="false">C5/B5</f>
        <v>0.719972007607112</v>
      </c>
      <c r="K5" s="15" t="n">
        <f aca="false">D5/B5</f>
        <v>0.280027992392888</v>
      </c>
    </row>
    <row r="6" customFormat="false" ht="15" hidden="false" customHeight="true" outlineLevel="0" collapsed="false">
      <c r="A6" s="4" t="s">
        <v>14</v>
      </c>
      <c r="B6" s="5" t="n">
        <v>48172704</v>
      </c>
      <c r="C6" s="5" t="n">
        <v>34827724</v>
      </c>
      <c r="D6" s="5" t="n">
        <v>13344980</v>
      </c>
      <c r="E6" s="6" t="n">
        <v>23.65</v>
      </c>
      <c r="F6" s="5" t="n">
        <v>18304345</v>
      </c>
      <c r="G6" s="7" t="n">
        <f aca="false">B6-F6</f>
        <v>29868359</v>
      </c>
      <c r="H6" s="7" t="n">
        <f aca="false">B6-B5</f>
        <v>538334</v>
      </c>
      <c r="I6" s="10" t="n">
        <f aca="false">(B6-B5)/B5</f>
        <v>0.0113013775557439</v>
      </c>
      <c r="J6" s="10" t="n">
        <f aca="false">C6/B6</f>
        <v>0.72297631455357</v>
      </c>
      <c r="K6" s="10" t="n">
        <f aca="false">D6/B6</f>
        <v>0.27702368544643</v>
      </c>
    </row>
    <row r="7" customFormat="false" ht="15" hidden="false" customHeight="true" outlineLevel="0" collapsed="false">
      <c r="A7" s="11" t="s">
        <v>15</v>
      </c>
      <c r="B7" s="12" t="n">
        <v>47618651</v>
      </c>
      <c r="C7" s="12" t="n">
        <v>34049000</v>
      </c>
      <c r="D7" s="12" t="n">
        <v>13569651</v>
      </c>
      <c r="E7" s="13" t="n">
        <v>25.07</v>
      </c>
      <c r="F7" s="12" t="n">
        <v>15894950</v>
      </c>
      <c r="G7" s="14" t="n">
        <f aca="false">B7-F7</f>
        <v>31723701</v>
      </c>
      <c r="H7" s="14" t="n">
        <f aca="false">B7-B6</f>
        <v>-554053</v>
      </c>
      <c r="I7" s="15" t="n">
        <f aca="false">(B7-B6)/B6</f>
        <v>-0.0115013888363003</v>
      </c>
      <c r="J7" s="15" t="n">
        <f aca="false">C7/B7</f>
        <v>0.715034955526145</v>
      </c>
      <c r="K7" s="15" t="n">
        <f aca="false">D7/B7</f>
        <v>0.284965044473855</v>
      </c>
    </row>
    <row r="8" customFormat="false" ht="15" hidden="false" customHeight="true" outlineLevel="0" collapsed="false">
      <c r="A8" s="4" t="s">
        <v>16</v>
      </c>
      <c r="B8" s="5" t="n">
        <v>50501287</v>
      </c>
      <c r="C8" s="5" t="n">
        <v>36821590</v>
      </c>
      <c r="D8" s="5" t="n">
        <v>13679697</v>
      </c>
      <c r="E8" s="6" t="n">
        <v>25.85</v>
      </c>
      <c r="F8" s="5" t="n">
        <v>17197576</v>
      </c>
      <c r="G8" s="7" t="n">
        <f aca="false">B8-F8</f>
        <v>33303711</v>
      </c>
      <c r="H8" s="7" t="n">
        <f aca="false">B8-B7</f>
        <v>2882636</v>
      </c>
      <c r="I8" s="10" t="n">
        <f aca="false">(B8-B7)/B7</f>
        <v>0.0605358602031796</v>
      </c>
      <c r="J8" s="10" t="n">
        <f aca="false">C8/B8</f>
        <v>0.729121814261882</v>
      </c>
      <c r="K8" s="10" t="n">
        <f aca="false">D8/B8</f>
        <v>0.270878185738118</v>
      </c>
    </row>
    <row r="9" customFormat="false" ht="15" hidden="false" customHeight="true" outlineLevel="0" collapsed="false">
      <c r="A9" s="11" t="s">
        <v>17</v>
      </c>
      <c r="B9" s="12" t="n">
        <v>50281526</v>
      </c>
      <c r="C9" s="12" t="n">
        <v>37524160</v>
      </c>
      <c r="D9" s="12" t="n">
        <v>12757366</v>
      </c>
      <c r="E9" s="13" t="n">
        <v>28.8</v>
      </c>
      <c r="F9" s="12" t="n">
        <v>16694043</v>
      </c>
      <c r="G9" s="14" t="n">
        <f aca="false">B9-F9</f>
        <v>33587483</v>
      </c>
      <c r="H9" s="14" t="n">
        <f aca="false">B9-B8</f>
        <v>-219761</v>
      </c>
      <c r="I9" s="15" t="n">
        <f aca="false">(B9-B8)/B8</f>
        <v>-0.00435159206932687</v>
      </c>
      <c r="J9" s="15" t="n">
        <f aca="false">C9/B9</f>
        <v>0.74628124850467</v>
      </c>
      <c r="K9" s="15" t="n">
        <f aca="false">D9/B9</f>
        <v>0.253718751495331</v>
      </c>
    </row>
    <row r="10" customFormat="false" ht="15" hidden="false" customHeight="true" outlineLevel="0" collapsed="false">
      <c r="A10" s="4" t="s">
        <v>18</v>
      </c>
      <c r="B10" s="5" t="n">
        <v>52225904</v>
      </c>
      <c r="C10" s="5" t="n">
        <v>39076054</v>
      </c>
      <c r="D10" s="5" t="n">
        <v>13149850</v>
      </c>
      <c r="E10" s="6" t="n">
        <v>30.28</v>
      </c>
      <c r="F10" s="5" t="n">
        <v>16396609</v>
      </c>
      <c r="G10" s="7" t="n">
        <f aca="false">B10-F10</f>
        <v>35829295</v>
      </c>
      <c r="H10" s="7" t="n">
        <f aca="false">B10-B9</f>
        <v>1944378</v>
      </c>
      <c r="I10" s="10" t="n">
        <f aca="false">(B10-B9)/B9</f>
        <v>0.0386698287557939</v>
      </c>
      <c r="J10" s="10" t="n">
        <f aca="false">C10/B10</f>
        <v>0.74821211328386</v>
      </c>
      <c r="K10" s="10" t="n">
        <f aca="false">D10/B10</f>
        <v>0.25178788671614</v>
      </c>
    </row>
    <row r="11" customFormat="false" ht="15" hidden="false" customHeight="true" outlineLevel="0" collapsed="false">
      <c r="A11" s="11" t="s">
        <v>19</v>
      </c>
      <c r="B11" s="12" t="n">
        <v>52995877</v>
      </c>
      <c r="C11" s="12" t="n">
        <v>39661795</v>
      </c>
      <c r="D11" s="12" t="n">
        <v>13334082</v>
      </c>
      <c r="E11" s="13" t="n">
        <v>30.57</v>
      </c>
      <c r="F11" s="12" t="n">
        <v>16619223</v>
      </c>
      <c r="G11" s="14" t="n">
        <f aca="false">B11-F11</f>
        <v>36376654</v>
      </c>
      <c r="H11" s="14" t="n">
        <f aca="false">B11-B10</f>
        <v>769973</v>
      </c>
      <c r="I11" s="15" t="n">
        <f aca="false">(B11-B10)/B10</f>
        <v>0.0147431244081481</v>
      </c>
      <c r="J11" s="15" t="n">
        <f aca="false">C11/B11</f>
        <v>0.748393974119911</v>
      </c>
      <c r="K11" s="15" t="n">
        <f aca="false">D11/B11</f>
        <v>0.251606025880089</v>
      </c>
    </row>
    <row r="12" customFormat="false" ht="15" hidden="false" customHeight="true" outlineLevel="0" collapsed="false">
      <c r="A12" s="4" t="s">
        <v>20</v>
      </c>
      <c r="B12" s="5" t="n">
        <v>53558796</v>
      </c>
      <c r="C12" s="5" t="n">
        <v>39795370</v>
      </c>
      <c r="D12" s="5" t="n">
        <v>13763426</v>
      </c>
      <c r="E12" s="6" t="n">
        <v>30.76</v>
      </c>
      <c r="F12" s="5" t="n">
        <v>16721845</v>
      </c>
      <c r="G12" s="7" t="n">
        <f aca="false">B12-F12</f>
        <v>36836951</v>
      </c>
      <c r="H12" s="7" t="n">
        <f aca="false">B12-B11</f>
        <v>562919</v>
      </c>
      <c r="I12" s="10" t="n">
        <f aca="false">(B12-B11)/B11</f>
        <v>0.0106219395142758</v>
      </c>
      <c r="J12" s="10" t="n">
        <f aca="false">C12/B12</f>
        <v>0.743022117226086</v>
      </c>
      <c r="K12" s="10" t="n">
        <f aca="false">D12/B12</f>
        <v>0.256977882773915</v>
      </c>
    </row>
    <row r="13" customFormat="false" ht="15" hidden="false" customHeight="true" outlineLevel="0" collapsed="false">
      <c r="A13" s="11" t="s">
        <v>21</v>
      </c>
      <c r="B13" s="12" t="n">
        <v>54094776</v>
      </c>
      <c r="C13" s="12" t="n">
        <v>39705064</v>
      </c>
      <c r="D13" s="12" t="n">
        <v>14389712</v>
      </c>
      <c r="E13" s="13" t="n">
        <v>30.91</v>
      </c>
      <c r="F13" s="12" t="n">
        <v>16664079</v>
      </c>
      <c r="G13" s="14" t="n">
        <f aca="false">B13-F13</f>
        <v>37430697</v>
      </c>
      <c r="H13" s="14" t="n">
        <f aca="false">B13-B12</f>
        <v>535980</v>
      </c>
      <c r="I13" s="15" t="n">
        <f aca="false">(B13-B12)/B12</f>
        <v>0.0100073198060688</v>
      </c>
      <c r="J13" s="15" t="n">
        <f aca="false">C13/B13</f>
        <v>0.733990727681357</v>
      </c>
      <c r="K13" s="15" t="n">
        <f aca="false">D13/B13</f>
        <v>0.266009272318643</v>
      </c>
    </row>
    <row r="14" customFormat="false" ht="15" hidden="false" customHeight="true" outlineLevel="0" collapsed="false">
      <c r="A14" s="4" t="s">
        <v>22</v>
      </c>
      <c r="B14" s="5" t="n">
        <v>55344488</v>
      </c>
      <c r="C14" s="5" t="n">
        <v>40636405</v>
      </c>
      <c r="D14" s="5" t="n">
        <v>14708083</v>
      </c>
      <c r="E14" s="6" t="n">
        <v>32.37</v>
      </c>
      <c r="F14" s="5" t="n">
        <v>16500927</v>
      </c>
      <c r="G14" s="7" t="n">
        <f aca="false">B14-F14</f>
        <v>38843561</v>
      </c>
      <c r="H14" s="7" t="n">
        <f aca="false">B14-B13</f>
        <v>1249712</v>
      </c>
      <c r="I14" s="10" t="n">
        <f aca="false">(B14-B13)/B13</f>
        <v>0.0231022677679634</v>
      </c>
      <c r="J14" s="10" t="n">
        <f aca="false">C14/B14</f>
        <v>0.734244844762138</v>
      </c>
      <c r="K14" s="10" t="n">
        <f aca="false">D14/B14</f>
        <v>0.265755155237862</v>
      </c>
    </row>
    <row r="15" customFormat="false" ht="15" hidden="false" customHeight="true" outlineLevel="0" collapsed="false">
      <c r="A15" s="11" t="s">
        <v>23</v>
      </c>
      <c r="B15" s="12" t="n">
        <v>55370654</v>
      </c>
      <c r="C15" s="12" t="n">
        <v>40549344</v>
      </c>
      <c r="D15" s="12" t="n">
        <v>14821310</v>
      </c>
      <c r="E15" s="13" t="n">
        <v>32.28</v>
      </c>
      <c r="F15" s="12" t="n">
        <v>16072456</v>
      </c>
      <c r="G15" s="14" t="n">
        <f aca="false">B15-F15</f>
        <v>39298198</v>
      </c>
      <c r="H15" s="14" t="n">
        <f aca="false">B15-B14</f>
        <v>26166</v>
      </c>
      <c r="I15" s="15" t="n">
        <f aca="false">(B15-B14)/B14</f>
        <v>0.000472784209332644</v>
      </c>
      <c r="J15" s="15" t="n">
        <f aca="false">C15/B15</f>
        <v>0.732325538361891</v>
      </c>
      <c r="K15" s="15" t="n">
        <f aca="false">D15/B15</f>
        <v>0.267674461638109</v>
      </c>
    </row>
    <row r="16" customFormat="false" ht="15" hidden="false" customHeight="true" outlineLevel="0" collapsed="false">
      <c r="A16" s="4" t="s">
        <v>24</v>
      </c>
      <c r="B16" s="5" t="n">
        <v>56392987</v>
      </c>
      <c r="C16" s="5" t="n">
        <v>41237122</v>
      </c>
      <c r="D16" s="5" t="n">
        <v>15155865</v>
      </c>
      <c r="E16" s="6" t="n">
        <v>32.84</v>
      </c>
      <c r="F16" s="5" t="n">
        <v>16088328</v>
      </c>
      <c r="G16" s="7" t="n">
        <f aca="false">B16-F16</f>
        <v>40304659</v>
      </c>
      <c r="H16" s="7" t="n">
        <f aca="false">B16-B15</f>
        <v>1022333</v>
      </c>
      <c r="I16" s="10" t="n">
        <f aca="false">(B16-B15)/B15</f>
        <v>0.0184634445531382</v>
      </c>
      <c r="J16" s="10" t="n">
        <f aca="false">C16/B16</f>
        <v>0.731245571368653</v>
      </c>
      <c r="K16" s="10" t="n">
        <f aca="false">D16/B16</f>
        <v>0.268754428631347</v>
      </c>
    </row>
    <row r="17" customFormat="false" ht="15" hidden="false" customHeight="true" outlineLevel="0" collapsed="false">
      <c r="A17" s="11" t="s">
        <v>25</v>
      </c>
      <c r="B17" s="12" t="n">
        <v>56472475</v>
      </c>
      <c r="C17" s="12" t="n">
        <v>41316610</v>
      </c>
      <c r="D17" s="12" t="n">
        <v>15155865</v>
      </c>
      <c r="E17" s="13" t="n">
        <v>32.84</v>
      </c>
      <c r="F17" s="12" t="n">
        <v>15686800</v>
      </c>
      <c r="G17" s="14" t="n">
        <f aca="false">B17-F17</f>
        <v>40785675</v>
      </c>
      <c r="H17" s="14" t="n">
        <f aca="false">B17-B16</f>
        <v>79488</v>
      </c>
      <c r="I17" s="15" t="n">
        <f aca="false">(B17-B16)/B16</f>
        <v>0.00140953696955261</v>
      </c>
      <c r="J17" s="15" t="n">
        <f aca="false">C17/B17</f>
        <v>0.731623857463304</v>
      </c>
      <c r="K17" s="15" t="n">
        <f aca="false">D17/B17</f>
        <v>0.268376142536696</v>
      </c>
    </row>
    <row r="18" customFormat="false" ht="15" hidden="false" customHeight="true" outlineLevel="0" collapsed="false">
      <c r="A18" s="4" t="s">
        <v>26</v>
      </c>
      <c r="B18" s="5" t="n">
        <v>57532017</v>
      </c>
      <c r="C18" s="5" t="n">
        <v>41827055</v>
      </c>
      <c r="D18" s="5" t="n">
        <v>15704962</v>
      </c>
      <c r="E18" s="6" t="n">
        <v>33.05</v>
      </c>
      <c r="F18" s="5" t="n">
        <v>15780975</v>
      </c>
      <c r="G18" s="7" t="n">
        <f aca="false">B18-F18</f>
        <v>41751042</v>
      </c>
      <c r="H18" s="7" t="n">
        <f aca="false">B18-B17</f>
        <v>1059542</v>
      </c>
      <c r="I18" s="10" t="n">
        <f aca="false">(B18-B17)/B17</f>
        <v>0.0187620960476763</v>
      </c>
      <c r="J18" s="10" t="n">
        <f aca="false">C18/B18</f>
        <v>0.727022224859594</v>
      </c>
      <c r="K18" s="10" t="n">
        <f aca="false">D18/B18</f>
        <v>0.272977775140406</v>
      </c>
    </row>
    <row r="19" customFormat="false" ht="15" hidden="false" customHeight="true" outlineLevel="0" collapsed="false">
      <c r="A19" s="11" t="s">
        <v>27</v>
      </c>
      <c r="B19" s="12" t="n">
        <v>57648602</v>
      </c>
      <c r="C19" s="12" t="n">
        <v>42025701</v>
      </c>
      <c r="D19" s="12" t="n">
        <v>15622901</v>
      </c>
      <c r="E19" s="13" t="n">
        <v>26.82</v>
      </c>
      <c r="F19" s="12" t="n">
        <v>16261880</v>
      </c>
      <c r="G19" s="14" t="n">
        <f aca="false">B19-F19</f>
        <v>41386722</v>
      </c>
      <c r="H19" s="14" t="n">
        <f aca="false">B19-B18</f>
        <v>116585</v>
      </c>
      <c r="I19" s="15" t="n">
        <f aca="false">(B19-B18)/B18</f>
        <v>0.0020264368621041</v>
      </c>
      <c r="J19" s="15" t="n">
        <f aca="false">C19/B19</f>
        <v>0.728997747421525</v>
      </c>
      <c r="K19" s="15" t="n">
        <f aca="false">D19/B19</f>
        <v>0.271002252578475</v>
      </c>
    </row>
    <row r="20" customFormat="false" ht="15" hidden="false" customHeight="true" outlineLevel="0" collapsed="false">
      <c r="A20" s="4" t="s">
        <v>28</v>
      </c>
      <c r="B20" s="5" t="n">
        <v>59639491</v>
      </c>
      <c r="C20" s="5" t="n">
        <v>43979351</v>
      </c>
      <c r="D20" s="5" t="n">
        <v>15660140</v>
      </c>
      <c r="E20" s="6" t="n">
        <v>27.22</v>
      </c>
      <c r="F20" s="16" t="s">
        <v>29</v>
      </c>
      <c r="G20" s="7" t="s">
        <v>29</v>
      </c>
      <c r="H20" s="7" t="n">
        <f aca="false">B20-B19</f>
        <v>1990889</v>
      </c>
      <c r="I20" s="10" t="n">
        <f aca="false">(B20-B19)/B19</f>
        <v>0.0345349051135707</v>
      </c>
      <c r="J20" s="10" t="n">
        <f aca="false">C20/B20</f>
        <v>0.737419958865846</v>
      </c>
      <c r="K20" s="10" t="n">
        <f aca="false">D20/B20</f>
        <v>0.262580041134154</v>
      </c>
    </row>
    <row r="21" customFormat="false" ht="15" hidden="false" customHeight="true" outlineLevel="0" collapsed="false">
      <c r="A21" s="11" t="s">
        <v>30</v>
      </c>
      <c r="B21" s="12" t="n">
        <v>62678131</v>
      </c>
      <c r="C21" s="12" t="n">
        <v>45576075</v>
      </c>
      <c r="D21" s="12" t="n">
        <v>17102056</v>
      </c>
      <c r="E21" s="13" t="n">
        <v>28.67</v>
      </c>
      <c r="F21" s="17" t="s">
        <v>29</v>
      </c>
      <c r="G21" s="14" t="s">
        <v>29</v>
      </c>
      <c r="H21" s="14" t="n">
        <f aca="false">B21-B20</f>
        <v>3038640</v>
      </c>
      <c r="I21" s="15" t="n">
        <f aca="false">(B21-B20)/B20</f>
        <v>0.0509501330251125</v>
      </c>
      <c r="J21" s="15" t="n">
        <f aca="false">C21/B21</f>
        <v>0.727144767606424</v>
      </c>
      <c r="K21" s="15" t="n">
        <f aca="false">D21/B21</f>
        <v>0.272855232393576</v>
      </c>
    </row>
    <row r="23" customFormat="false" ht="15" hidden="false" customHeight="true" outlineLevel="0" collapsed="false">
      <c r="A23" s="18" t="s">
        <v>31</v>
      </c>
      <c r="B23" s="15" t="n">
        <f aca="false">(B21/B4)^(1/17)-1</f>
        <v>0.017152906089235</v>
      </c>
      <c r="C23" s="15" t="n">
        <f aca="false">(C21/C4)^(1/17)-1</f>
        <v>0.0186238795485096</v>
      </c>
      <c r="D23" s="15" t="n">
        <f aca="false">(D21/D4)^(1/17)-1</f>
        <v>0.0134102789020056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4" min="3" style="1" width="16"/>
    <col collapsed="false" customWidth="true" hidden="false" outlineLevel="0" max="5" min="5" style="1" width="18"/>
  </cols>
  <sheetData>
    <row r="1" customFormat="false" ht="24.75" hidden="false" customHeight="true" outlineLevel="0" collapsed="false">
      <c r="A1" s="2" t="s">
        <v>32</v>
      </c>
      <c r="B1" s="2"/>
      <c r="C1" s="2"/>
      <c r="D1" s="2"/>
      <c r="E1" s="2"/>
    </row>
    <row r="3" customFormat="false" ht="34.5" hidden="false" customHeight="true" outlineLevel="0" collapsed="false">
      <c r="A3" s="3" t="s">
        <v>1</v>
      </c>
      <c r="B3" s="3" t="s">
        <v>33</v>
      </c>
      <c r="C3" s="3" t="s">
        <v>34</v>
      </c>
      <c r="D3" s="3" t="s">
        <v>35</v>
      </c>
      <c r="E3" s="3" t="s">
        <v>36</v>
      </c>
    </row>
    <row r="5" customFormat="false" ht="15" hidden="false" customHeight="true" outlineLevel="0" collapsed="false">
      <c r="A5" s="4" t="s">
        <v>13</v>
      </c>
      <c r="B5" s="10" t="n">
        <f aca="false">'Budget Summary'!I5</f>
        <v>0.0147768244361747</v>
      </c>
      <c r="C5" s="10" t="n">
        <f aca="false">IFERROR(('Budget Summary'!C5-'Budget Summary'!C4)/'Budget Summary'!C4,0)</f>
        <v>0.0297566821906485</v>
      </c>
      <c r="D5" s="10" t="n">
        <f aca="false">IFERROR(('Budget Summary'!D5-'Budget Summary'!D4)/'Budget Summary'!D4,0)</f>
        <v>-0.0218088418088418</v>
      </c>
      <c r="E5" s="19" t="n">
        <f aca="false">'Budget Summary'!E5-'Budget Summary'!E4</f>
        <v>0</v>
      </c>
    </row>
    <row r="6" customFormat="false" ht="15" hidden="false" customHeight="true" outlineLevel="0" collapsed="false">
      <c r="A6" s="11" t="s">
        <v>14</v>
      </c>
      <c r="B6" s="15" t="n">
        <f aca="false">'Budget Summary'!I6</f>
        <v>0.0113013775557439</v>
      </c>
      <c r="C6" s="15" t="n">
        <f aca="false">IFERROR(('Budget Summary'!C6-'Budget Summary'!C5)/'Budget Summary'!C5,0)</f>
        <v>0.015521346834342</v>
      </c>
      <c r="D6" s="15" t="n">
        <f aca="false">IFERROR(('Budget Summary'!D6-'Budget Summary'!D5)/'Budget Summary'!D5,0)</f>
        <v>0.000451534554013481</v>
      </c>
      <c r="E6" s="20" t="n">
        <f aca="false">'Budget Summary'!E6-'Budget Summary'!E5</f>
        <v>0.639999999999997</v>
      </c>
    </row>
    <row r="7" customFormat="false" ht="15" hidden="false" customHeight="true" outlineLevel="0" collapsed="false">
      <c r="A7" s="4" t="s">
        <v>15</v>
      </c>
      <c r="B7" s="10" t="n">
        <f aca="false">'Budget Summary'!I7</f>
        <v>-0.0115013888363003</v>
      </c>
      <c r="C7" s="10" t="n">
        <f aca="false">IFERROR(('Budget Summary'!C7-'Budget Summary'!C6)/'Budget Summary'!C6,0)</f>
        <v>-0.0223593135170131</v>
      </c>
      <c r="D7" s="10" t="n">
        <f aca="false">IFERROR(('Budget Summary'!D7-'Budget Summary'!D6)/'Budget Summary'!D6,0)</f>
        <v>0.0168356190867277</v>
      </c>
      <c r="E7" s="19" t="n">
        <f aca="false">'Budget Summary'!E7-'Budget Summary'!E6</f>
        <v>1.42</v>
      </c>
    </row>
    <row r="8" customFormat="false" ht="15" hidden="false" customHeight="true" outlineLevel="0" collapsed="false">
      <c r="A8" s="11" t="s">
        <v>16</v>
      </c>
      <c r="B8" s="15" t="n">
        <f aca="false">'Budget Summary'!I8</f>
        <v>0.0605358602031796</v>
      </c>
      <c r="C8" s="15" t="n">
        <f aca="false">IFERROR(('Budget Summary'!C8-'Budget Summary'!C7)/'Budget Summary'!C7,0)</f>
        <v>0.0814294105553761</v>
      </c>
      <c r="D8" s="15" t="n">
        <f aca="false">IFERROR(('Budget Summary'!D8-'Budget Summary'!D7)/'Budget Summary'!D7,0)</f>
        <v>0.0081097148334913</v>
      </c>
      <c r="E8" s="20" t="n">
        <f aca="false">'Budget Summary'!E8-'Budget Summary'!E7</f>
        <v>0.780000000000001</v>
      </c>
    </row>
    <row r="9" customFormat="false" ht="15" hidden="false" customHeight="true" outlineLevel="0" collapsed="false">
      <c r="A9" s="21" t="s">
        <v>17</v>
      </c>
      <c r="B9" s="22" t="n">
        <f aca="false">'Budget Summary'!I9</f>
        <v>-0.00435159206932687</v>
      </c>
      <c r="C9" s="22" t="n">
        <f aca="false">IFERROR(('Budget Summary'!C9-'Budget Summary'!C8)/'Budget Summary'!C8,0)</f>
        <v>0.0190803819172393</v>
      </c>
      <c r="D9" s="22" t="n">
        <f aca="false">IFERROR(('Budget Summary'!D9-'Budget Summary'!D8)/'Budget Summary'!D8,0)</f>
        <v>-0.0674233500932075</v>
      </c>
      <c r="E9" s="23" t="n">
        <f aca="false">'Budget Summary'!E9-'Budget Summary'!E8</f>
        <v>2.95</v>
      </c>
    </row>
    <row r="10" customFormat="false" ht="15" hidden="false" customHeight="true" outlineLevel="0" collapsed="false">
      <c r="A10" s="11" t="s">
        <v>18</v>
      </c>
      <c r="B10" s="15" t="n">
        <f aca="false">'Budget Summary'!I10</f>
        <v>0.0386698287557939</v>
      </c>
      <c r="C10" s="15" t="n">
        <f aca="false">IFERROR(('Budget Summary'!C10-'Budget Summary'!C9)/'Budget Summary'!C9,0)</f>
        <v>0.0413571949378747</v>
      </c>
      <c r="D10" s="15" t="n">
        <f aca="false">IFERROR(('Budget Summary'!D10-'Budget Summary'!D9)/'Budget Summary'!D9,0)</f>
        <v>0.0307652849342098</v>
      </c>
      <c r="E10" s="20" t="n">
        <f aca="false">'Budget Summary'!E10-'Budget Summary'!E9</f>
        <v>1.48</v>
      </c>
    </row>
    <row r="11" customFormat="false" ht="15" hidden="false" customHeight="true" outlineLevel="0" collapsed="false">
      <c r="A11" s="4" t="s">
        <v>19</v>
      </c>
      <c r="B11" s="10" t="n">
        <f aca="false">'Budget Summary'!I11</f>
        <v>0.0147431244081481</v>
      </c>
      <c r="C11" s="10" t="n">
        <f aca="false">IFERROR(('Budget Summary'!C11-'Budget Summary'!C10)/'Budget Summary'!C10,0)</f>
        <v>0.0149897684141802</v>
      </c>
      <c r="D11" s="10" t="n">
        <f aca="false">IFERROR(('Budget Summary'!D11-'Budget Summary'!D10)/'Budget Summary'!D10,0)</f>
        <v>0.0140101978349563</v>
      </c>
      <c r="E11" s="19" t="n">
        <f aca="false">'Budget Summary'!E11-'Budget Summary'!E10</f>
        <v>0.289999999999999</v>
      </c>
    </row>
    <row r="12" customFormat="false" ht="15" hidden="false" customHeight="true" outlineLevel="0" collapsed="false">
      <c r="A12" s="11" t="s">
        <v>20</v>
      </c>
      <c r="B12" s="15" t="n">
        <f aca="false">'Budget Summary'!I12</f>
        <v>0.0106219395142758</v>
      </c>
      <c r="C12" s="15" t="n">
        <f aca="false">IFERROR(('Budget Summary'!C12-'Budget Summary'!C11)/'Budget Summary'!C11,0)</f>
        <v>0.0033678505977856</v>
      </c>
      <c r="D12" s="15" t="n">
        <f aca="false">IFERROR(('Budget Summary'!D12-'Budget Summary'!D11)/'Budget Summary'!D11,0)</f>
        <v>0.0321989920265977</v>
      </c>
      <c r="E12" s="20" t="n">
        <f aca="false">'Budget Summary'!E12-'Budget Summary'!E11</f>
        <v>0.190000000000001</v>
      </c>
    </row>
    <row r="13" customFormat="false" ht="15" hidden="false" customHeight="true" outlineLevel="0" collapsed="false">
      <c r="A13" s="4" t="s">
        <v>21</v>
      </c>
      <c r="B13" s="10" t="n">
        <f aca="false">'Budget Summary'!I13</f>
        <v>0.0100073198060688</v>
      </c>
      <c r="C13" s="10" t="n">
        <f aca="false">IFERROR(('Budget Summary'!C13-'Budget Summary'!C12)/'Budget Summary'!C12,0)</f>
        <v>-0.00226925896153246</v>
      </c>
      <c r="D13" s="10" t="n">
        <f aca="false">IFERROR(('Budget Summary'!D13-'Budget Summary'!D12)/'Budget Summary'!D12,0)</f>
        <v>0.0455036413172127</v>
      </c>
      <c r="E13" s="19" t="n">
        <f aca="false">'Budget Summary'!E13-'Budget Summary'!E12</f>
        <v>0.149999999999999</v>
      </c>
    </row>
    <row r="14" customFormat="false" ht="15" hidden="false" customHeight="true" outlineLevel="0" collapsed="false">
      <c r="A14" s="21" t="s">
        <v>22</v>
      </c>
      <c r="B14" s="22" t="n">
        <f aca="false">'Budget Summary'!I14</f>
        <v>0.0231022677679634</v>
      </c>
      <c r="C14" s="22" t="n">
        <f aca="false">IFERROR(('Budget Summary'!C14-'Budget Summary'!C13)/'Budget Summary'!C13,0)</f>
        <v>0.0234564790022754</v>
      </c>
      <c r="D14" s="22" t="n">
        <f aca="false">IFERROR(('Budget Summary'!D14-'Budget Summary'!D13)/'Budget Summary'!D13,0)</f>
        <v>0.0221249042371383</v>
      </c>
      <c r="E14" s="23" t="n">
        <f aca="false">'Budget Summary'!E14-'Budget Summary'!E13</f>
        <v>1.46</v>
      </c>
    </row>
    <row r="15" customFormat="false" ht="15" hidden="false" customHeight="true" outlineLevel="0" collapsed="false">
      <c r="A15" s="4" t="s">
        <v>23</v>
      </c>
      <c r="B15" s="10" t="n">
        <f aca="false">'Budget Summary'!I15</f>
        <v>0.000472784209332644</v>
      </c>
      <c r="C15" s="10" t="n">
        <f aca="false">IFERROR(('Budget Summary'!C15-'Budget Summary'!C14)/'Budget Summary'!C14,0)</f>
        <v>-0.00214243853510171</v>
      </c>
      <c r="D15" s="10" t="n">
        <f aca="false">IFERROR(('Budget Summary'!D15-'Budget Summary'!D14)/'Budget Summary'!D14,0)</f>
        <v>0.00769828399798941</v>
      </c>
      <c r="E15" s="19" t="n">
        <f aca="false">'Budget Summary'!E15-'Budget Summary'!E14</f>
        <v>-0.0899999999999963</v>
      </c>
    </row>
    <row r="16" customFormat="false" ht="15" hidden="false" customHeight="true" outlineLevel="0" collapsed="false">
      <c r="A16" s="11" t="s">
        <v>24</v>
      </c>
      <c r="B16" s="15" t="n">
        <f aca="false">'Budget Summary'!I16</f>
        <v>0.0184634445531382</v>
      </c>
      <c r="C16" s="15" t="n">
        <f aca="false">IFERROR(('Budget Summary'!C16-'Budget Summary'!C15)/'Budget Summary'!C15,0)</f>
        <v>0.0169615074414028</v>
      </c>
      <c r="D16" s="15" t="n">
        <f aca="false">IFERROR(('Budget Summary'!D16-'Budget Summary'!D15)/'Budget Summary'!D15,0)</f>
        <v>0.0225725661226977</v>
      </c>
      <c r="E16" s="20" t="n">
        <f aca="false">'Budget Summary'!E16-'Budget Summary'!E15</f>
        <v>0.560000000000002</v>
      </c>
    </row>
    <row r="17" customFormat="false" ht="15" hidden="false" customHeight="true" outlineLevel="0" collapsed="false">
      <c r="A17" s="4" t="s">
        <v>25</v>
      </c>
      <c r="B17" s="10" t="n">
        <f aca="false">'Budget Summary'!I17</f>
        <v>0.00140953696955261</v>
      </c>
      <c r="C17" s="10" t="n">
        <f aca="false">IFERROR(('Budget Summary'!C17-'Budget Summary'!C16)/'Budget Summary'!C16,0)</f>
        <v>0.00192758359809882</v>
      </c>
      <c r="D17" s="10" t="n">
        <f aca="false">IFERROR(('Budget Summary'!D17-'Budget Summary'!D16)/'Budget Summary'!D16,0)</f>
        <v>0</v>
      </c>
      <c r="E17" s="19" t="n">
        <f aca="false">'Budget Summary'!E17-'Budget Summary'!E16</f>
        <v>0</v>
      </c>
    </row>
    <row r="18" customFormat="false" ht="15" hidden="false" customHeight="true" outlineLevel="0" collapsed="false">
      <c r="A18" s="11" t="s">
        <v>26</v>
      </c>
      <c r="B18" s="15" t="n">
        <f aca="false">'Budget Summary'!I18</f>
        <v>0.0187620960476763</v>
      </c>
      <c r="C18" s="15" t="n">
        <f aca="false">IFERROR(('Budget Summary'!C18-'Budget Summary'!C17)/'Budget Summary'!C17,0)</f>
        <v>0.0123544743869354</v>
      </c>
      <c r="D18" s="15" t="n">
        <f aca="false">IFERROR(('Budget Summary'!D18-'Budget Summary'!D17)/'Budget Summary'!D17,0)</f>
        <v>0.0362300007290907</v>
      </c>
      <c r="E18" s="20" t="n">
        <f aca="false">'Budget Summary'!E18-'Budget Summary'!E17</f>
        <v>0.209999999999994</v>
      </c>
    </row>
    <row r="19" customFormat="false" ht="15" hidden="false" customHeight="true" outlineLevel="0" collapsed="false">
      <c r="A19" s="21" t="s">
        <v>27</v>
      </c>
      <c r="B19" s="22" t="n">
        <f aca="false">'Budget Summary'!I19</f>
        <v>0.0020264368621041</v>
      </c>
      <c r="C19" s="22" t="n">
        <f aca="false">IFERROR(('Budget Summary'!C19-'Budget Summary'!C18)/'Budget Summary'!C18,0)</f>
        <v>0.00474922272199178</v>
      </c>
      <c r="D19" s="22" t="n">
        <f aca="false">IFERROR(('Budget Summary'!D19-'Budget Summary'!D18)/'Budget Summary'!D18,0)</f>
        <v>-0.00522516386859134</v>
      </c>
      <c r="E19" s="23" t="n">
        <f aca="false">'Budget Summary'!E19-'Budget Summary'!E18</f>
        <v>-6.23</v>
      </c>
    </row>
    <row r="20" customFormat="false" ht="15" hidden="false" customHeight="true" outlineLevel="0" collapsed="false">
      <c r="A20" s="11" t="s">
        <v>28</v>
      </c>
      <c r="B20" s="15" t="n">
        <f aca="false">'Budget Summary'!I20</f>
        <v>0.0345349051135707</v>
      </c>
      <c r="C20" s="15" t="n">
        <f aca="false">IFERROR(('Budget Summary'!C20-'Budget Summary'!C19)/'Budget Summary'!C19,0)</f>
        <v>0.0464870294489555</v>
      </c>
      <c r="D20" s="15" t="n">
        <f aca="false">IFERROR(('Budget Summary'!D20-'Budget Summary'!D19)/'Budget Summary'!D19,0)</f>
        <v>0.00238361620546658</v>
      </c>
      <c r="E20" s="20" t="n">
        <f aca="false">'Budget Summary'!E20-'Budget Summary'!E19</f>
        <v>0.399999999999999</v>
      </c>
    </row>
    <row r="21" customFormat="false" ht="15" hidden="false" customHeight="true" outlineLevel="0" collapsed="false">
      <c r="A21" s="4" t="s">
        <v>30</v>
      </c>
      <c r="B21" s="10" t="n">
        <f aca="false">'Budget Summary'!I21</f>
        <v>0.0509501330251125</v>
      </c>
      <c r="C21" s="10" t="n">
        <f aca="false">IFERROR(('Budget Summary'!C21-'Budget Summary'!C20)/'Budget Summary'!C20,0)</f>
        <v>0.0363062201622757</v>
      </c>
      <c r="D21" s="10" t="n">
        <f aca="false">IFERROR(('Budget Summary'!D21-'Budget Summary'!D20)/'Budget Summary'!D20,0)</f>
        <v>0.0920755497715857</v>
      </c>
      <c r="E21" s="19" t="n">
        <f aca="false">'Budget Summary'!E21-'Budget Summary'!E20</f>
        <v>1.45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8"/>
  </cols>
  <sheetData>
    <row r="1" customFormat="false" ht="24.75" hidden="false" customHeight="true" outlineLevel="0" collapsed="false">
      <c r="A1" s="2" t="s">
        <v>37</v>
      </c>
      <c r="B1" s="2"/>
      <c r="C1" s="2"/>
      <c r="D1" s="2"/>
    </row>
    <row r="3" customFormat="false" ht="15" hidden="false" customHeight="true" outlineLevel="0" collapsed="false">
      <c r="A3" s="24" t="s">
        <v>38</v>
      </c>
    </row>
    <row r="4" customFormat="false" ht="15" hidden="false" customHeight="true" outlineLevel="0" collapsed="false">
      <c r="A4" s="25" t="s">
        <v>39</v>
      </c>
      <c r="B4" s="25" t="s">
        <v>40</v>
      </c>
      <c r="C4" s="25" t="s">
        <v>41</v>
      </c>
    </row>
    <row r="5" customFormat="false" ht="15" hidden="false" customHeight="true" outlineLevel="0" collapsed="false">
      <c r="A5" s="16" t="s">
        <v>42</v>
      </c>
      <c r="B5" s="5" t="n">
        <v>4446879</v>
      </c>
      <c r="C5" s="10" t="n">
        <f aca="false">B5/17102056</f>
        <v>0.260020140268515</v>
      </c>
    </row>
    <row r="6" customFormat="false" ht="15" hidden="false" customHeight="true" outlineLevel="0" collapsed="false">
      <c r="A6" s="17" t="s">
        <v>43</v>
      </c>
      <c r="B6" s="12" t="n">
        <v>3595000</v>
      </c>
      <c r="C6" s="15" t="n">
        <f aca="false">B6/17102056</f>
        <v>0.210208643919772</v>
      </c>
    </row>
    <row r="7" customFormat="false" ht="15" hidden="false" customHeight="true" outlineLevel="0" collapsed="false">
      <c r="A7" s="16" t="s">
        <v>44</v>
      </c>
      <c r="B7" s="5" t="n">
        <v>4413268</v>
      </c>
      <c r="C7" s="10" t="n">
        <f aca="false">B7/17102056</f>
        <v>0.258054821010994</v>
      </c>
    </row>
    <row r="8" customFormat="false" ht="15" hidden="false" customHeight="true" outlineLevel="0" collapsed="false">
      <c r="A8" s="17" t="s">
        <v>45</v>
      </c>
      <c r="B8" s="12" t="n">
        <v>1918345</v>
      </c>
      <c r="C8" s="15" t="n">
        <f aca="false">B8/17102056</f>
        <v>0.112170431438185</v>
      </c>
    </row>
    <row r="9" customFormat="false" ht="15" hidden="false" customHeight="true" outlineLevel="0" collapsed="false">
      <c r="A9" s="16" t="s">
        <v>46</v>
      </c>
      <c r="B9" s="5" t="n">
        <v>2075164</v>
      </c>
      <c r="C9" s="10" t="n">
        <f aca="false">B9/17102056</f>
        <v>0.121340030695725</v>
      </c>
    </row>
    <row r="10" customFormat="false" ht="15" hidden="false" customHeight="true" outlineLevel="0" collapsed="false">
      <c r="A10" s="17" t="s">
        <v>47</v>
      </c>
      <c r="B10" s="12" t="n">
        <v>653400</v>
      </c>
      <c r="C10" s="15" t="n">
        <f aca="false">B10/17102056</f>
        <v>0.0382059326668092</v>
      </c>
    </row>
    <row r="11" customFormat="false" ht="15" hidden="false" customHeight="true" outlineLevel="0" collapsed="false">
      <c r="A11" s="18" t="s">
        <v>48</v>
      </c>
      <c r="B11" s="26" t="n">
        <v>17102056</v>
      </c>
      <c r="C11" s="27" t="n">
        <v>1</v>
      </c>
    </row>
    <row r="14" customFormat="false" ht="15" hidden="false" customHeight="true" outlineLevel="0" collapsed="false">
      <c r="A14" s="24" t="s">
        <v>49</v>
      </c>
    </row>
    <row r="15" customFormat="false" ht="15" hidden="false" customHeight="true" outlineLevel="0" collapsed="false">
      <c r="A15" s="25" t="s">
        <v>50</v>
      </c>
      <c r="B15" s="25" t="s">
        <v>40</v>
      </c>
      <c r="C15" s="25" t="s">
        <v>51</v>
      </c>
    </row>
    <row r="16" customFormat="false" ht="15" hidden="false" customHeight="true" outlineLevel="0" collapsed="false">
      <c r="A16" s="16" t="s">
        <v>52</v>
      </c>
      <c r="B16" s="5" t="n">
        <v>46648493</v>
      </c>
      <c r="C16" s="10" t="n">
        <f aca="false">B16/62678131</f>
        <v>0.744254690683103</v>
      </c>
    </row>
    <row r="17" customFormat="false" ht="15" hidden="false" customHeight="true" outlineLevel="0" collapsed="false">
      <c r="A17" s="17" t="s">
        <v>53</v>
      </c>
      <c r="B17" s="12" t="n">
        <v>12966723</v>
      </c>
      <c r="C17" s="15" t="n">
        <f aca="false">B17/62678131</f>
        <v>0.206877945993635</v>
      </c>
    </row>
    <row r="18" customFormat="false" ht="15" hidden="false" customHeight="true" outlineLevel="0" collapsed="false">
      <c r="A18" s="16" t="s">
        <v>54</v>
      </c>
      <c r="B18" s="5" t="n">
        <v>2010915</v>
      </c>
      <c r="C18" s="10" t="n">
        <f aca="false">B18/62678131</f>
        <v>0.0320831998005812</v>
      </c>
    </row>
    <row r="19" customFormat="false" ht="15" hidden="false" customHeight="true" outlineLevel="0" collapsed="false">
      <c r="A19" s="17" t="s">
        <v>55</v>
      </c>
      <c r="B19" s="12" t="n">
        <v>1052000</v>
      </c>
      <c r="C19" s="15" t="n">
        <f aca="false">B19/62678131</f>
        <v>0.0167841635226807</v>
      </c>
    </row>
    <row r="20" customFormat="false" ht="15" hidden="false" customHeight="true" outlineLevel="0" collapsed="false">
      <c r="A20" s="18" t="s">
        <v>56</v>
      </c>
      <c r="B20" s="26" t="n">
        <v>62678131</v>
      </c>
      <c r="C20" s="27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8"/>
  </cols>
  <sheetData>
    <row r="1" customFormat="false" ht="19.5" hidden="false" customHeight="true" outlineLevel="0" collapsed="false">
      <c r="A1" s="28" t="s">
        <v>57</v>
      </c>
      <c r="B1" s="28"/>
      <c r="C1" s="28"/>
    </row>
    <row r="3" customFormat="false" ht="15" hidden="false" customHeight="true" outlineLevel="0" collapsed="false">
      <c r="A3" s="25" t="s">
        <v>1</v>
      </c>
      <c r="B3" s="25" t="s">
        <v>2</v>
      </c>
      <c r="C3" s="25" t="s">
        <v>5</v>
      </c>
    </row>
    <row r="4" customFormat="false" ht="15" hidden="false" customHeight="true" outlineLevel="0" collapsed="false">
      <c r="A4" s="17" t="s">
        <v>12</v>
      </c>
      <c r="B4" s="14" t="n">
        <f aca="false">'Budget Summary'!B4</f>
        <v>46940735</v>
      </c>
      <c r="C4" s="20" t="n">
        <f aca="false">'Budget Summary'!E4</f>
        <v>23.01</v>
      </c>
    </row>
    <row r="5" customFormat="false" ht="15" hidden="false" customHeight="true" outlineLevel="0" collapsed="false">
      <c r="A5" s="17" t="s">
        <v>13</v>
      </c>
      <c r="B5" s="14" t="n">
        <f aca="false">'Budget Summary'!B5</f>
        <v>47634370</v>
      </c>
      <c r="C5" s="20" t="n">
        <f aca="false">'Budget Summary'!E5</f>
        <v>23.01</v>
      </c>
    </row>
    <row r="6" customFormat="false" ht="15" hidden="false" customHeight="true" outlineLevel="0" collapsed="false">
      <c r="A6" s="17" t="s">
        <v>14</v>
      </c>
      <c r="B6" s="14" t="n">
        <f aca="false">'Budget Summary'!B6</f>
        <v>48172704</v>
      </c>
      <c r="C6" s="20" t="n">
        <f aca="false">'Budget Summary'!E6</f>
        <v>23.65</v>
      </c>
    </row>
    <row r="7" customFormat="false" ht="15" hidden="false" customHeight="true" outlineLevel="0" collapsed="false">
      <c r="A7" s="17" t="s">
        <v>15</v>
      </c>
      <c r="B7" s="14" t="n">
        <f aca="false">'Budget Summary'!B7</f>
        <v>47618651</v>
      </c>
      <c r="C7" s="20" t="n">
        <f aca="false">'Budget Summary'!E7</f>
        <v>25.07</v>
      </c>
    </row>
    <row r="8" customFormat="false" ht="15" hidden="false" customHeight="true" outlineLevel="0" collapsed="false">
      <c r="A8" s="17" t="s">
        <v>16</v>
      </c>
      <c r="B8" s="14" t="n">
        <f aca="false">'Budget Summary'!B5</f>
        <v>47634370</v>
      </c>
      <c r="C8" s="20" t="n">
        <f aca="false">'Budget Summary'!E5</f>
        <v>23.01</v>
      </c>
    </row>
    <row r="9" customFormat="false" ht="15" hidden="false" customHeight="true" outlineLevel="0" collapsed="false">
      <c r="A9" s="17" t="s">
        <v>17</v>
      </c>
      <c r="B9" s="14" t="n">
        <f aca="false">'Budget Summary'!B6</f>
        <v>48172704</v>
      </c>
      <c r="C9" s="20" t="n">
        <f aca="false">'Budget Summary'!E6</f>
        <v>23.65</v>
      </c>
    </row>
    <row r="10" customFormat="false" ht="15" hidden="false" customHeight="true" outlineLevel="0" collapsed="false">
      <c r="A10" s="17" t="s">
        <v>18</v>
      </c>
      <c r="B10" s="14" t="n">
        <f aca="false">'Budget Summary'!B7</f>
        <v>47618651</v>
      </c>
      <c r="C10" s="20" t="n">
        <f aca="false">'Budget Summary'!E7</f>
        <v>25.07</v>
      </c>
    </row>
    <row r="11" customFormat="false" ht="15" hidden="false" customHeight="true" outlineLevel="0" collapsed="false">
      <c r="A11" s="17" t="s">
        <v>19</v>
      </c>
      <c r="B11" s="14" t="n">
        <f aca="false">'Budget Summary'!B8</f>
        <v>50501287</v>
      </c>
      <c r="C11" s="20" t="n">
        <f aca="false">'Budget Summary'!E8</f>
        <v>25.85</v>
      </c>
    </row>
    <row r="12" customFormat="false" ht="15" hidden="false" customHeight="true" outlineLevel="0" collapsed="false">
      <c r="A12" s="17" t="s">
        <v>20</v>
      </c>
      <c r="B12" s="14" t="n">
        <f aca="false">'Budget Summary'!B9</f>
        <v>50281526</v>
      </c>
      <c r="C12" s="20" t="n">
        <f aca="false">'Budget Summary'!E9</f>
        <v>28.8</v>
      </c>
    </row>
    <row r="13" customFormat="false" ht="15" hidden="false" customHeight="true" outlineLevel="0" collapsed="false">
      <c r="A13" s="17" t="s">
        <v>21</v>
      </c>
      <c r="B13" s="14" t="n">
        <f aca="false">'Budget Summary'!B10</f>
        <v>52225904</v>
      </c>
      <c r="C13" s="20" t="n">
        <f aca="false">'Budget Summary'!E10</f>
        <v>30.28</v>
      </c>
    </row>
    <row r="14" customFormat="false" ht="15" hidden="false" customHeight="true" outlineLevel="0" collapsed="false">
      <c r="A14" s="17" t="s">
        <v>22</v>
      </c>
      <c r="B14" s="14" t="n">
        <f aca="false">'Budget Summary'!B11</f>
        <v>52995877</v>
      </c>
      <c r="C14" s="20" t="n">
        <f aca="false">'Budget Summary'!E11</f>
        <v>30.57</v>
      </c>
    </row>
    <row r="15" customFormat="false" ht="15" hidden="false" customHeight="true" outlineLevel="0" collapsed="false">
      <c r="A15" s="17" t="s">
        <v>23</v>
      </c>
      <c r="B15" s="14" t="n">
        <f aca="false">'Budget Summary'!B12</f>
        <v>53558796</v>
      </c>
      <c r="C15" s="20" t="n">
        <f aca="false">'Budget Summary'!E12</f>
        <v>30.76</v>
      </c>
    </row>
    <row r="16" customFormat="false" ht="15" hidden="false" customHeight="true" outlineLevel="0" collapsed="false">
      <c r="A16" s="17" t="s">
        <v>24</v>
      </c>
      <c r="B16" s="14" t="n">
        <f aca="false">'Budget Summary'!B13</f>
        <v>54094776</v>
      </c>
      <c r="C16" s="20" t="n">
        <f aca="false">'Budget Summary'!E13</f>
        <v>30.91</v>
      </c>
    </row>
    <row r="17" customFormat="false" ht="15" hidden="false" customHeight="true" outlineLevel="0" collapsed="false">
      <c r="A17" s="17" t="s">
        <v>25</v>
      </c>
      <c r="B17" s="14" t="n">
        <f aca="false">'Budget Summary'!B14</f>
        <v>55344488</v>
      </c>
      <c r="C17" s="20" t="n">
        <f aca="false">'Budget Summary'!E14</f>
        <v>32.37</v>
      </c>
    </row>
    <row r="18" customFormat="false" ht="15" hidden="false" customHeight="true" outlineLevel="0" collapsed="false">
      <c r="A18" s="17" t="s">
        <v>26</v>
      </c>
      <c r="B18" s="14" t="n">
        <f aca="false">'Budget Summary'!B15</f>
        <v>55370654</v>
      </c>
      <c r="C18" s="20" t="n">
        <f aca="false">'Budget Summary'!E15</f>
        <v>32.28</v>
      </c>
    </row>
    <row r="19" customFormat="false" ht="15" hidden="false" customHeight="true" outlineLevel="0" collapsed="false">
      <c r="A19" s="17" t="s">
        <v>27</v>
      </c>
      <c r="B19" s="14" t="n">
        <f aca="false">'Budget Summary'!B16</f>
        <v>56392987</v>
      </c>
      <c r="C19" s="20" t="n">
        <f aca="false">'Budget Summary'!E16</f>
        <v>32.84</v>
      </c>
    </row>
    <row r="20" customFormat="false" ht="15" hidden="false" customHeight="true" outlineLevel="0" collapsed="false">
      <c r="A20" s="17" t="s">
        <v>28</v>
      </c>
      <c r="B20" s="14" t="n">
        <f aca="false">'Budget Summary'!B17</f>
        <v>56472475</v>
      </c>
      <c r="C20" s="20" t="n">
        <f aca="false">'Budget Summary'!E17</f>
        <v>32.84</v>
      </c>
    </row>
    <row r="21" customFormat="false" ht="15" hidden="false" customHeight="true" outlineLevel="0" collapsed="false">
      <c r="A21" s="17" t="s">
        <v>30</v>
      </c>
      <c r="B21" s="14" t="n">
        <f aca="false">'Budget Summary'!B18</f>
        <v>57532017</v>
      </c>
      <c r="C21" s="20" t="n">
        <f aca="false">'Budget Summary'!E18</f>
        <v>33.05</v>
      </c>
    </row>
    <row r="24" customFormat="false" ht="15" hidden="false" customHeight="true" outlineLevel="0" collapsed="false">
      <c r="A24" s="29" t="s">
        <v>58</v>
      </c>
    </row>
    <row r="25" customFormat="false" ht="15" hidden="false" customHeight="true" outlineLevel="0" collapsed="false">
      <c r="A25" s="25" t="s">
        <v>1</v>
      </c>
      <c r="B25" s="25" t="s">
        <v>3</v>
      </c>
      <c r="C25" s="25" t="s">
        <v>4</v>
      </c>
    </row>
    <row r="26" customFormat="false" ht="15" hidden="false" customHeight="true" outlineLevel="0" collapsed="false">
      <c r="A26" s="17" t="s">
        <v>12</v>
      </c>
      <c r="B26" s="14" t="n">
        <f aca="false">'Budget Summary'!C7</f>
        <v>34049000</v>
      </c>
      <c r="C26" s="14" t="n">
        <f aca="false">'Budget Summary'!D7</f>
        <v>13569651</v>
      </c>
    </row>
    <row r="27" customFormat="false" ht="15" hidden="false" customHeight="true" outlineLevel="0" collapsed="false">
      <c r="A27" s="17" t="s">
        <v>13</v>
      </c>
      <c r="B27" s="14" t="n">
        <f aca="false">'Budget Summary'!C5</f>
        <v>34295413</v>
      </c>
      <c r="C27" s="14" t="n">
        <f aca="false">'Budget Summary'!D5</f>
        <v>13338957</v>
      </c>
    </row>
    <row r="28" customFormat="false" ht="15" hidden="false" customHeight="true" outlineLevel="0" collapsed="false">
      <c r="A28" s="17" t="s">
        <v>14</v>
      </c>
      <c r="B28" s="14" t="n">
        <f aca="false">'Budget Summary'!C6</f>
        <v>34827724</v>
      </c>
      <c r="C28" s="14" t="n">
        <f aca="false">'Budget Summary'!D6</f>
        <v>13344980</v>
      </c>
    </row>
    <row r="29" customFormat="false" ht="15" hidden="false" customHeight="true" outlineLevel="0" collapsed="false">
      <c r="A29" s="17" t="s">
        <v>15</v>
      </c>
      <c r="B29" s="14" t="n">
        <f aca="false">'Budget Summary'!C7</f>
        <v>34049000</v>
      </c>
      <c r="C29" s="14" t="n">
        <f aca="false">'Budget Summary'!D7</f>
        <v>13569651</v>
      </c>
    </row>
    <row r="30" customFormat="false" ht="15" hidden="false" customHeight="true" outlineLevel="0" collapsed="false">
      <c r="A30" s="17" t="s">
        <v>16</v>
      </c>
      <c r="B30" s="14" t="n">
        <f aca="false">'Budget Summary'!C8</f>
        <v>36821590</v>
      </c>
      <c r="C30" s="14" t="n">
        <f aca="false">'Budget Summary'!D8</f>
        <v>13679697</v>
      </c>
    </row>
    <row r="31" customFormat="false" ht="15" hidden="false" customHeight="true" outlineLevel="0" collapsed="false">
      <c r="A31" s="17" t="s">
        <v>17</v>
      </c>
      <c r="B31" s="14" t="n">
        <f aca="false">'Budget Summary'!C9</f>
        <v>37524160</v>
      </c>
      <c r="C31" s="14" t="n">
        <f aca="false">'Budget Summary'!D9</f>
        <v>12757366</v>
      </c>
    </row>
    <row r="32" customFormat="false" ht="15" hidden="false" customHeight="true" outlineLevel="0" collapsed="false">
      <c r="A32" s="17" t="s">
        <v>18</v>
      </c>
      <c r="B32" s="14" t="n">
        <f aca="false">'Budget Summary'!C10</f>
        <v>39076054</v>
      </c>
      <c r="C32" s="14" t="n">
        <f aca="false">'Budget Summary'!D10</f>
        <v>13149850</v>
      </c>
    </row>
    <row r="33" customFormat="false" ht="15" hidden="false" customHeight="true" outlineLevel="0" collapsed="false">
      <c r="A33" s="17" t="s">
        <v>19</v>
      </c>
      <c r="B33" s="14" t="n">
        <f aca="false">'Budget Summary'!C11</f>
        <v>39661795</v>
      </c>
      <c r="C33" s="14" t="n">
        <f aca="false">'Budget Summary'!D11</f>
        <v>13334082</v>
      </c>
    </row>
    <row r="34" customFormat="false" ht="15" hidden="false" customHeight="true" outlineLevel="0" collapsed="false">
      <c r="A34" s="17" t="s">
        <v>20</v>
      </c>
      <c r="B34" s="14" t="n">
        <f aca="false">'Budget Summary'!C12</f>
        <v>39795370</v>
      </c>
      <c r="C34" s="14" t="n">
        <f aca="false">'Budget Summary'!D12</f>
        <v>13763426</v>
      </c>
    </row>
    <row r="35" customFormat="false" ht="15" hidden="false" customHeight="true" outlineLevel="0" collapsed="false">
      <c r="A35" s="17" t="s">
        <v>21</v>
      </c>
      <c r="B35" s="14" t="n">
        <f aca="false">'Budget Summary'!C13</f>
        <v>39705064</v>
      </c>
      <c r="C35" s="14" t="n">
        <f aca="false">'Budget Summary'!D13</f>
        <v>14389712</v>
      </c>
    </row>
    <row r="36" customFormat="false" ht="15" hidden="false" customHeight="true" outlineLevel="0" collapsed="false">
      <c r="A36" s="17" t="s">
        <v>22</v>
      </c>
      <c r="B36" s="14" t="n">
        <f aca="false">'Budget Summary'!C14</f>
        <v>40636405</v>
      </c>
      <c r="C36" s="14" t="n">
        <f aca="false">'Budget Summary'!D14</f>
        <v>14708083</v>
      </c>
    </row>
    <row r="37" customFormat="false" ht="15" hidden="false" customHeight="true" outlineLevel="0" collapsed="false">
      <c r="A37" s="17" t="s">
        <v>23</v>
      </c>
      <c r="B37" s="14" t="n">
        <f aca="false">'Budget Summary'!C15</f>
        <v>40549344</v>
      </c>
      <c r="C37" s="14" t="n">
        <f aca="false">'Budget Summary'!D15</f>
        <v>14821310</v>
      </c>
    </row>
    <row r="38" customFormat="false" ht="15" hidden="false" customHeight="true" outlineLevel="0" collapsed="false">
      <c r="A38" s="17" t="s">
        <v>24</v>
      </c>
      <c r="B38" s="14" t="n">
        <f aca="false">'Budget Summary'!C16</f>
        <v>41237122</v>
      </c>
      <c r="C38" s="14" t="n">
        <f aca="false">'Budget Summary'!D16</f>
        <v>15155865</v>
      </c>
    </row>
    <row r="39" customFormat="false" ht="15" hidden="false" customHeight="true" outlineLevel="0" collapsed="false">
      <c r="A39" s="17" t="s">
        <v>25</v>
      </c>
      <c r="B39" s="14" t="n">
        <f aca="false">'Budget Summary'!C17</f>
        <v>41316610</v>
      </c>
      <c r="C39" s="14" t="n">
        <f aca="false">'Budget Summary'!D17</f>
        <v>15155865</v>
      </c>
    </row>
    <row r="40" customFormat="false" ht="15" hidden="false" customHeight="true" outlineLevel="0" collapsed="false">
      <c r="A40" s="17" t="s">
        <v>26</v>
      </c>
      <c r="B40" s="14" t="n">
        <f aca="false">'Budget Summary'!C18</f>
        <v>41827055</v>
      </c>
      <c r="C40" s="14" t="n">
        <f aca="false">'Budget Summary'!D18</f>
        <v>15704962</v>
      </c>
    </row>
    <row r="41" customFormat="false" ht="15" hidden="false" customHeight="true" outlineLevel="0" collapsed="false">
      <c r="A41" s="17" t="s">
        <v>27</v>
      </c>
      <c r="B41" s="14" t="n">
        <f aca="false">'Budget Summary'!C19</f>
        <v>42025701</v>
      </c>
      <c r="C41" s="14" t="n">
        <f aca="false">'Budget Summary'!D19</f>
        <v>15622901</v>
      </c>
    </row>
    <row r="42" customFormat="false" ht="15" hidden="false" customHeight="true" outlineLevel="0" collapsed="false">
      <c r="A42" s="17" t="s">
        <v>28</v>
      </c>
      <c r="B42" s="14" t="n">
        <f aca="false">'Budget Summary'!C20</f>
        <v>43979351</v>
      </c>
      <c r="C42" s="14" t="n">
        <f aca="false">'Budget Summary'!D20</f>
        <v>15660140</v>
      </c>
    </row>
    <row r="43" customFormat="false" ht="15" hidden="false" customHeight="true" outlineLevel="0" collapsed="false">
      <c r="A43" s="17" t="s">
        <v>30</v>
      </c>
      <c r="B43" s="14" t="n">
        <f aca="false">'Budget Summary'!C21</f>
        <v>45576075</v>
      </c>
      <c r="C43" s="14" t="n">
        <f aca="false">'Budget Summary'!D21</f>
        <v>17102056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4" min="3" style="1" width="13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14"/>
    <col collapsed="false" customWidth="true" hidden="false" outlineLevel="0" max="10" min="10" style="1" width="13"/>
  </cols>
  <sheetData>
    <row r="1" customFormat="false" ht="15" hidden="false" customHeight="true" outlineLevel="0" collapsed="false">
      <c r="A1" s="30" t="s">
        <v>59</v>
      </c>
      <c r="B1" s="30"/>
      <c r="C1" s="30"/>
      <c r="D1" s="30"/>
      <c r="E1" s="30"/>
      <c r="F1" s="30"/>
      <c r="G1" s="30"/>
      <c r="H1" s="30"/>
      <c r="I1" s="30"/>
      <c r="J1" s="30"/>
    </row>
    <row r="3" customFormat="false" ht="23.25" hidden="false" customHeight="true" outlineLevel="0" collapsed="false">
      <c r="A3" s="31" t="s">
        <v>1</v>
      </c>
      <c r="B3" s="31" t="s">
        <v>60</v>
      </c>
      <c r="C3" s="31" t="s">
        <v>61</v>
      </c>
      <c r="D3" s="31" t="s">
        <v>62</v>
      </c>
      <c r="E3" s="31" t="s">
        <v>63</v>
      </c>
      <c r="F3" s="31" t="s">
        <v>64</v>
      </c>
      <c r="G3" s="31" t="s">
        <v>65</v>
      </c>
      <c r="H3" s="31" t="s">
        <v>66</v>
      </c>
      <c r="I3" s="31" t="s">
        <v>67</v>
      </c>
      <c r="J3" s="31" t="s">
        <v>68</v>
      </c>
    </row>
    <row r="4" customFormat="false" ht="15" hidden="false" customHeight="true" outlineLevel="0" collapsed="false">
      <c r="A4" s="32" t="s">
        <v>12</v>
      </c>
      <c r="B4" s="33" t="n">
        <v>3008717</v>
      </c>
      <c r="C4" s="33" t="n">
        <v>1927072</v>
      </c>
      <c r="D4" s="33" t="n">
        <v>2027402</v>
      </c>
      <c r="E4" s="33" t="n">
        <v>1775339</v>
      </c>
      <c r="F4" s="33" t="n">
        <v>4568425</v>
      </c>
      <c r="G4" s="33" t="n">
        <v>329395</v>
      </c>
      <c r="H4" s="34" t="n">
        <f aca="false">SUM(B4:G4)</f>
        <v>13636350</v>
      </c>
      <c r="I4" s="33" t="n">
        <v>33304385</v>
      </c>
      <c r="J4" s="34" t="n">
        <f aca="false">H4+I4</f>
        <v>46940735</v>
      </c>
    </row>
    <row r="5" customFormat="false" ht="15" hidden="false" customHeight="true" outlineLevel="0" collapsed="false">
      <c r="A5" s="35" t="s">
        <v>13</v>
      </c>
      <c r="B5" s="36" t="n">
        <v>3251305</v>
      </c>
      <c r="C5" s="36" t="n">
        <v>1961450</v>
      </c>
      <c r="D5" s="36" t="n">
        <v>2124196</v>
      </c>
      <c r="E5" s="36" t="n">
        <v>1825788</v>
      </c>
      <c r="F5" s="36" t="n">
        <v>3945937</v>
      </c>
      <c r="G5" s="36" t="n">
        <v>230281</v>
      </c>
      <c r="H5" s="37" t="n">
        <f aca="false">SUM(B5:G5)</f>
        <v>13338957</v>
      </c>
      <c r="I5" s="36" t="n">
        <v>34295413</v>
      </c>
      <c r="J5" s="37" t="n">
        <f aca="false">H5+I5</f>
        <v>47634370</v>
      </c>
    </row>
    <row r="6" customFormat="false" ht="15" hidden="false" customHeight="true" outlineLevel="0" collapsed="false">
      <c r="A6" s="32" t="s">
        <v>14</v>
      </c>
      <c r="B6" s="33" t="n">
        <v>3417559</v>
      </c>
      <c r="C6" s="33" t="n">
        <v>2053445</v>
      </c>
      <c r="D6" s="33" t="n">
        <v>2156524</v>
      </c>
      <c r="E6" s="33" t="n">
        <v>1775113</v>
      </c>
      <c r="F6" s="33" t="n">
        <v>3791284</v>
      </c>
      <c r="G6" s="33" t="n">
        <v>151055</v>
      </c>
      <c r="H6" s="34" t="n">
        <f aca="false">SUM(B6:G6)</f>
        <v>13344980</v>
      </c>
      <c r="I6" s="33" t="n">
        <v>34827724</v>
      </c>
      <c r="J6" s="34" t="n">
        <f aca="false">H6+I6</f>
        <v>48172704</v>
      </c>
    </row>
    <row r="7" customFormat="false" ht="15" hidden="false" customHeight="true" outlineLevel="0" collapsed="false">
      <c r="A7" s="35" t="s">
        <v>15</v>
      </c>
      <c r="B7" s="36" t="n">
        <v>3589507</v>
      </c>
      <c r="C7" s="36" t="n">
        <v>2030638</v>
      </c>
      <c r="D7" s="36" t="n">
        <v>2339519</v>
      </c>
      <c r="E7" s="36" t="n">
        <v>1702881</v>
      </c>
      <c r="F7" s="36" t="n">
        <v>3752603</v>
      </c>
      <c r="G7" s="36" t="n">
        <v>154503</v>
      </c>
      <c r="H7" s="37" t="n">
        <f aca="false">SUM(B7:G7)</f>
        <v>13569651</v>
      </c>
      <c r="I7" s="36" t="n">
        <v>34049000</v>
      </c>
      <c r="J7" s="37" t="n">
        <f aca="false">H7+I7</f>
        <v>47618651</v>
      </c>
    </row>
    <row r="8" customFormat="false" ht="15" hidden="false" customHeight="true" outlineLevel="0" collapsed="false">
      <c r="A8" s="32" t="s">
        <v>16</v>
      </c>
      <c r="B8" s="33" t="n">
        <v>3739439</v>
      </c>
      <c r="C8" s="33" t="n">
        <v>2077258</v>
      </c>
      <c r="D8" s="33" t="n">
        <v>2606082</v>
      </c>
      <c r="E8" s="33" t="n">
        <v>1783027</v>
      </c>
      <c r="F8" s="33" t="n">
        <v>3061530</v>
      </c>
      <c r="G8" s="33" t="n">
        <v>412361</v>
      </c>
      <c r="H8" s="34" t="n">
        <f aca="false">SUM(B8:G8)</f>
        <v>13679697</v>
      </c>
      <c r="I8" s="33" t="n">
        <v>36821590</v>
      </c>
      <c r="J8" s="34" t="n">
        <f aca="false">H8+I8</f>
        <v>50501287</v>
      </c>
    </row>
    <row r="9" customFormat="false" ht="15" hidden="false" customHeight="true" outlineLevel="0" collapsed="false">
      <c r="A9" s="35" t="s">
        <v>17</v>
      </c>
      <c r="B9" s="36" t="n">
        <v>3266599</v>
      </c>
      <c r="C9" s="36" t="n">
        <v>2211618</v>
      </c>
      <c r="D9" s="36" t="n">
        <v>3271201</v>
      </c>
      <c r="E9" s="36" t="n">
        <v>1385631</v>
      </c>
      <c r="F9" s="36" t="n">
        <v>2095890</v>
      </c>
      <c r="G9" s="36" t="n">
        <v>526427</v>
      </c>
      <c r="H9" s="37" t="n">
        <f aca="false">SUM(B9:G9)</f>
        <v>12757366</v>
      </c>
      <c r="I9" s="36" t="n">
        <v>37524160</v>
      </c>
      <c r="J9" s="37" t="n">
        <f aca="false">H9+I9</f>
        <v>50281526</v>
      </c>
    </row>
    <row r="10" customFormat="false" ht="15" hidden="false" customHeight="true" outlineLevel="0" collapsed="false">
      <c r="A10" s="32" t="s">
        <v>18</v>
      </c>
      <c r="B10" s="33" t="n">
        <v>3516486</v>
      </c>
      <c r="C10" s="33" t="n">
        <v>2334112</v>
      </c>
      <c r="D10" s="33" t="n">
        <v>3145849</v>
      </c>
      <c r="E10" s="33" t="n">
        <v>1436721</v>
      </c>
      <c r="F10" s="33" t="n">
        <v>2093641</v>
      </c>
      <c r="G10" s="33" t="n">
        <v>623041</v>
      </c>
      <c r="H10" s="34" t="n">
        <f aca="false">SUM(B10:G10)</f>
        <v>13149850</v>
      </c>
      <c r="I10" s="33" t="n">
        <v>39076054</v>
      </c>
      <c r="J10" s="34" t="n">
        <f aca="false">H10+I10</f>
        <v>52225904</v>
      </c>
    </row>
    <row r="11" customFormat="false" ht="15" hidden="false" customHeight="true" outlineLevel="0" collapsed="false">
      <c r="A11" s="35" t="s">
        <v>19</v>
      </c>
      <c r="B11" s="36" t="n">
        <v>3442025</v>
      </c>
      <c r="C11" s="36" t="n">
        <v>2492989</v>
      </c>
      <c r="D11" s="36" t="n">
        <v>3234601</v>
      </c>
      <c r="E11" s="36" t="n">
        <v>1469948</v>
      </c>
      <c r="F11" s="36" t="n">
        <v>1972866</v>
      </c>
      <c r="G11" s="36" t="n">
        <v>721653</v>
      </c>
      <c r="H11" s="37" t="n">
        <f aca="false">SUM(B11:G11)</f>
        <v>13334082</v>
      </c>
      <c r="I11" s="36" t="n">
        <v>39661795</v>
      </c>
      <c r="J11" s="37" t="n">
        <f aca="false">H11+I11</f>
        <v>52995877</v>
      </c>
    </row>
    <row r="12" customFormat="false" ht="15" hidden="false" customHeight="true" outlineLevel="0" collapsed="false">
      <c r="A12" s="32" t="s">
        <v>20</v>
      </c>
      <c r="B12" s="33" t="n">
        <v>3376276</v>
      </c>
      <c r="C12" s="33" t="n">
        <v>2689219</v>
      </c>
      <c r="D12" s="33" t="n">
        <v>3350648</v>
      </c>
      <c r="E12" s="33" t="n">
        <v>1512552</v>
      </c>
      <c r="F12" s="33" t="n">
        <v>1901466</v>
      </c>
      <c r="G12" s="33" t="n">
        <v>933265</v>
      </c>
      <c r="H12" s="34" t="n">
        <f aca="false">SUM(B12:G12)</f>
        <v>13763426</v>
      </c>
      <c r="I12" s="33" t="n">
        <v>39795370</v>
      </c>
      <c r="J12" s="34" t="n">
        <f aca="false">H12+I12</f>
        <v>53558796</v>
      </c>
    </row>
    <row r="13" customFormat="false" ht="15" hidden="false" customHeight="true" outlineLevel="0" collapsed="false">
      <c r="A13" s="35" t="s">
        <v>21</v>
      </c>
      <c r="B13" s="36" t="n">
        <v>3694918</v>
      </c>
      <c r="C13" s="36" t="n">
        <v>2689100</v>
      </c>
      <c r="D13" s="36" t="n">
        <v>3377938</v>
      </c>
      <c r="E13" s="36" t="n">
        <v>1566434</v>
      </c>
      <c r="F13" s="36" t="n">
        <v>1842266</v>
      </c>
      <c r="G13" s="36" t="n">
        <v>1219056</v>
      </c>
      <c r="H13" s="37" t="n">
        <f aca="false">SUM(B13:G13)</f>
        <v>14389712</v>
      </c>
      <c r="I13" s="36" t="n">
        <v>39705064</v>
      </c>
      <c r="J13" s="37" t="n">
        <f aca="false">H13+I13</f>
        <v>54094776</v>
      </c>
    </row>
    <row r="14" customFormat="false" ht="15" hidden="false" customHeight="true" outlineLevel="0" collapsed="false">
      <c r="A14" s="32" t="s">
        <v>22</v>
      </c>
      <c r="B14" s="33" t="n">
        <v>3573234</v>
      </c>
      <c r="C14" s="33" t="n">
        <v>2859187</v>
      </c>
      <c r="D14" s="33" t="n">
        <v>3518788</v>
      </c>
      <c r="E14" s="33" t="n">
        <v>1607338</v>
      </c>
      <c r="F14" s="33" t="n">
        <v>1791666</v>
      </c>
      <c r="G14" s="33" t="n">
        <v>1357870</v>
      </c>
      <c r="H14" s="34" t="n">
        <f aca="false">SUM(B14:G14)</f>
        <v>14708083</v>
      </c>
      <c r="I14" s="33" t="n">
        <v>40636405</v>
      </c>
      <c r="J14" s="34" t="n">
        <f aca="false">H14+I14</f>
        <v>55344488</v>
      </c>
    </row>
    <row r="15" customFormat="false" ht="15" hidden="false" customHeight="true" outlineLevel="0" collapsed="false">
      <c r="A15" s="35" t="s">
        <v>23</v>
      </c>
      <c r="B15" s="36" t="n">
        <v>3645457</v>
      </c>
      <c r="C15" s="36" t="n">
        <v>2925531</v>
      </c>
      <c r="D15" s="36" t="n">
        <v>3548359</v>
      </c>
      <c r="E15" s="36" t="n">
        <v>1614698</v>
      </c>
      <c r="F15" s="36" t="n">
        <v>1710415</v>
      </c>
      <c r="G15" s="36" t="n">
        <v>1376850</v>
      </c>
      <c r="H15" s="37" t="n">
        <f aca="false">SUM(B15:G15)</f>
        <v>14821310</v>
      </c>
      <c r="I15" s="36" t="n">
        <v>40549344</v>
      </c>
      <c r="J15" s="37" t="n">
        <f aca="false">H15+I15</f>
        <v>55370654</v>
      </c>
    </row>
    <row r="16" customFormat="false" ht="15" hidden="false" customHeight="true" outlineLevel="0" collapsed="false">
      <c r="A16" s="32" t="s">
        <v>24</v>
      </c>
      <c r="B16" s="33" t="n">
        <v>3731345</v>
      </c>
      <c r="C16" s="33" t="n">
        <v>2972696</v>
      </c>
      <c r="D16" s="33" t="n">
        <v>3730058</v>
      </c>
      <c r="E16" s="33" t="n">
        <v>1668570</v>
      </c>
      <c r="F16" s="33" t="n">
        <v>2075164</v>
      </c>
      <c r="G16" s="33" t="n">
        <v>978032</v>
      </c>
      <c r="H16" s="34" t="n">
        <f aca="false">SUM(B16:G16)</f>
        <v>15155865</v>
      </c>
      <c r="I16" s="33" t="n">
        <v>41237122</v>
      </c>
      <c r="J16" s="34" t="n">
        <f aca="false">H16+I16</f>
        <v>56392987</v>
      </c>
    </row>
    <row r="17" customFormat="false" ht="15" hidden="false" customHeight="true" outlineLevel="0" collapsed="false">
      <c r="A17" s="35" t="s">
        <v>25</v>
      </c>
      <c r="B17" s="36" t="n">
        <v>3780915</v>
      </c>
      <c r="C17" s="36" t="n">
        <v>3100772</v>
      </c>
      <c r="D17" s="36" t="n">
        <v>3686622</v>
      </c>
      <c r="E17" s="36" t="n">
        <v>1691056</v>
      </c>
      <c r="F17" s="36" t="n">
        <v>2075164</v>
      </c>
      <c r="G17" s="36" t="n">
        <v>821336</v>
      </c>
      <c r="H17" s="37" t="n">
        <f aca="false">SUM(B17:G17)</f>
        <v>15155865</v>
      </c>
      <c r="I17" s="36" t="n">
        <v>41316610</v>
      </c>
      <c r="J17" s="37" t="n">
        <f aca="false">H17+I17</f>
        <v>56472475</v>
      </c>
    </row>
    <row r="18" customFormat="false" ht="15" hidden="false" customHeight="true" outlineLevel="0" collapsed="false">
      <c r="A18" s="32" t="s">
        <v>26</v>
      </c>
      <c r="B18" s="33" t="n">
        <v>4033351</v>
      </c>
      <c r="C18" s="33" t="n">
        <v>3201050</v>
      </c>
      <c r="D18" s="33" t="n">
        <v>3814521</v>
      </c>
      <c r="E18" s="33" t="n">
        <v>1698057</v>
      </c>
      <c r="F18" s="33" t="n">
        <v>2075164</v>
      </c>
      <c r="G18" s="33" t="n">
        <v>882819</v>
      </c>
      <c r="H18" s="34" t="n">
        <f aca="false">SUM(B18:G18)</f>
        <v>15704962</v>
      </c>
      <c r="I18" s="33" t="n">
        <v>41827055</v>
      </c>
      <c r="J18" s="34" t="n">
        <f aca="false">H18+I18</f>
        <v>57532017</v>
      </c>
    </row>
    <row r="19" customFormat="false" ht="15" hidden="false" customHeight="true" outlineLevel="0" collapsed="false">
      <c r="A19" s="35" t="s">
        <v>27</v>
      </c>
      <c r="B19" s="36" t="n">
        <v>3966055</v>
      </c>
      <c r="C19" s="36" t="n">
        <v>3234496</v>
      </c>
      <c r="D19" s="36" t="n">
        <v>3847767</v>
      </c>
      <c r="E19" s="36" t="n">
        <v>1781198</v>
      </c>
      <c r="F19" s="36" t="n">
        <v>2075164</v>
      </c>
      <c r="G19" s="36" t="n">
        <v>718221</v>
      </c>
      <c r="H19" s="37" t="n">
        <f aca="false">SUM(B19:G19)</f>
        <v>15622901</v>
      </c>
      <c r="I19" s="36" t="n">
        <v>42025701</v>
      </c>
      <c r="J19" s="37" t="n">
        <f aca="false">H19+I19</f>
        <v>57648602</v>
      </c>
    </row>
    <row r="20" customFormat="false" ht="15" hidden="false" customHeight="true" outlineLevel="0" collapsed="false">
      <c r="A20" s="32" t="s">
        <v>28</v>
      </c>
      <c r="B20" s="33" t="n">
        <v>3961659</v>
      </c>
      <c r="C20" s="33" t="n">
        <v>3235482</v>
      </c>
      <c r="D20" s="33" t="n">
        <v>3903394</v>
      </c>
      <c r="E20" s="33" t="n">
        <v>1831041</v>
      </c>
      <c r="F20" s="33" t="n">
        <v>2075164</v>
      </c>
      <c r="G20" s="33" t="n">
        <v>653400</v>
      </c>
      <c r="H20" s="34" t="n">
        <f aca="false">SUM(B20:G20)</f>
        <v>15660140</v>
      </c>
      <c r="I20" s="33" t="n">
        <v>43979351</v>
      </c>
      <c r="J20" s="34" t="n">
        <f aca="false">H20+I20</f>
        <v>59639491</v>
      </c>
    </row>
    <row r="21" customFormat="false" ht="15" hidden="false" customHeight="true" outlineLevel="0" collapsed="false">
      <c r="A21" s="35" t="s">
        <v>30</v>
      </c>
      <c r="B21" s="36" t="n">
        <v>4446879</v>
      </c>
      <c r="C21" s="36" t="n">
        <v>3595000</v>
      </c>
      <c r="D21" s="36" t="n">
        <v>4413268</v>
      </c>
      <c r="E21" s="36" t="n">
        <v>1918345</v>
      </c>
      <c r="F21" s="36" t="n">
        <v>2075164</v>
      </c>
      <c r="G21" s="36" t="n">
        <v>653400</v>
      </c>
      <c r="H21" s="37" t="n">
        <f aca="false">SUM(B21:G21)</f>
        <v>17102056</v>
      </c>
      <c r="I21" s="36" t="n">
        <v>45576075</v>
      </c>
      <c r="J21" s="37" t="n">
        <f aca="false">H21+I21</f>
        <v>62678131</v>
      </c>
    </row>
    <row r="22" customFormat="false" ht="15" hidden="false" customHeight="true" outlineLevel="0" collapsed="false">
      <c r="A22" s="38" t="s">
        <v>69</v>
      </c>
    </row>
    <row r="24" customFormat="false" ht="15" hidden="false" customHeight="true" outlineLevel="0" collapsed="false">
      <c r="A24" s="39" t="s">
        <v>70</v>
      </c>
    </row>
    <row r="25" customFormat="false" ht="23.25" hidden="false" customHeight="true" outlineLevel="0" collapsed="false">
      <c r="A25" s="31" t="s">
        <v>1</v>
      </c>
      <c r="B25" s="31" t="s">
        <v>60</v>
      </c>
      <c r="C25" s="31" t="s">
        <v>61</v>
      </c>
      <c r="D25" s="31" t="s">
        <v>62</v>
      </c>
      <c r="E25" s="31" t="s">
        <v>63</v>
      </c>
      <c r="F25" s="31" t="s">
        <v>64</v>
      </c>
      <c r="G25" s="31" t="s">
        <v>65</v>
      </c>
      <c r="H25" s="31" t="s">
        <v>66</v>
      </c>
      <c r="I25" s="31" t="s">
        <v>67</v>
      </c>
      <c r="J25" s="31" t="s">
        <v>68</v>
      </c>
    </row>
    <row r="26" customFormat="false" ht="15" hidden="false" customHeight="true" outlineLevel="0" collapsed="false">
      <c r="A26" s="18" t="s">
        <v>71</v>
      </c>
      <c r="B26" s="40" t="n">
        <f aca="false">B21-B4</f>
        <v>1438162</v>
      </c>
      <c r="C26" s="40" t="n">
        <f aca="false">C21-C4</f>
        <v>1667928</v>
      </c>
      <c r="D26" s="40" t="n">
        <f aca="false">D21-D4</f>
        <v>2385866</v>
      </c>
      <c r="E26" s="40" t="n">
        <f aca="false">E21-E4</f>
        <v>143006</v>
      </c>
      <c r="F26" s="40" t="n">
        <f aca="false">F21-F4</f>
        <v>-2493261</v>
      </c>
      <c r="G26" s="40" t="n">
        <f aca="false">G21-G4</f>
        <v>324005</v>
      </c>
      <c r="H26" s="40" t="n">
        <f aca="false">H21-H4</f>
        <v>3465706</v>
      </c>
      <c r="I26" s="40" t="n">
        <f aca="false">I21-I4</f>
        <v>12271690</v>
      </c>
      <c r="J26" s="40" t="n">
        <f aca="false">J21-J4</f>
        <v>15737396</v>
      </c>
    </row>
    <row r="27" customFormat="false" ht="15" hidden="false" customHeight="true" outlineLevel="0" collapsed="false">
      <c r="A27" s="18" t="s">
        <v>72</v>
      </c>
      <c r="B27" s="41" t="n">
        <f aca="false">(B21-B4)/B4</f>
        <v>0.477998429230798</v>
      </c>
      <c r="C27" s="41" t="n">
        <f aca="false">(C21-C4)/C4</f>
        <v>0.865524484814268</v>
      </c>
      <c r="D27" s="41" t="n">
        <f aca="false">(D21-D4)/D4</f>
        <v>1.17680953259393</v>
      </c>
      <c r="E27" s="41" t="n">
        <f aca="false">(E21-E4)/E4</f>
        <v>0.0805513763850172</v>
      </c>
      <c r="F27" s="41" t="n">
        <f aca="false">(F21-F4)/F4</f>
        <v>-0.545759424747041</v>
      </c>
      <c r="G27" s="41" t="n">
        <f aca="false">(G21-G4)/G4</f>
        <v>0.983636667223243</v>
      </c>
      <c r="H27" s="41" t="n">
        <f aca="false">(H21-H4)/H4</f>
        <v>0.254152027485361</v>
      </c>
      <c r="I27" s="41" t="n">
        <f aca="false">(I21-I4)/I4</f>
        <v>0.368470698378006</v>
      </c>
      <c r="J27" s="41" t="n">
        <f aca="false">(J21-J4)/J4</f>
        <v>0.335260962573339</v>
      </c>
    </row>
    <row r="28" customFormat="false" ht="15" hidden="false" customHeight="true" outlineLevel="0" collapsed="false">
      <c r="A28" s="18" t="s">
        <v>73</v>
      </c>
      <c r="B28" s="41" t="n">
        <f aca="false">IFERROR((B21/B4)^(1/17)-1,"")</f>
        <v>0.0232478054996148</v>
      </c>
      <c r="C28" s="41" t="n">
        <f aca="false">IFERROR((C21/C4)^(1/17)-1,"")</f>
        <v>0.0373599283774055</v>
      </c>
      <c r="D28" s="41" t="n">
        <f aca="false">IFERROR((D21/D4)^(1/17)-1,"")</f>
        <v>0.0468194663013479</v>
      </c>
      <c r="E28" s="41" t="n">
        <f aca="false">IFERROR((E21/E4)^(1/17)-1,"")</f>
        <v>0.00456754336817866</v>
      </c>
      <c r="F28" s="41" t="n">
        <f aca="false">IFERROR((F21/F4)^(1/17)-1,"")</f>
        <v>-0.0453584153074156</v>
      </c>
      <c r="G28" s="41" t="n">
        <f aca="false">IFERROR((G21/G4)^(1/17)-1,"")</f>
        <v>0.0411127670371474</v>
      </c>
      <c r="H28" s="41" t="n">
        <f aca="false">IFERROR((H21/H4)^(1/17)-1,"")</f>
        <v>0.0134102789020056</v>
      </c>
      <c r="I28" s="41" t="n">
        <f aca="false">IFERROR((I21/I4)^(1/17)-1,"")</f>
        <v>0.0186238795485096</v>
      </c>
      <c r="J28" s="41" t="n">
        <f aca="false">IFERROR((J21/J4)^(1/17)-1,"")</f>
        <v>0.017152906089235</v>
      </c>
    </row>
    <row r="30" customFormat="false" ht="15" hidden="false" customHeight="true" outlineLevel="0" collapsed="false">
      <c r="A30" s="39" t="s">
        <v>74</v>
      </c>
    </row>
    <row r="31" customFormat="false" ht="15" hidden="false" customHeight="true" outlineLevel="0" collapsed="false">
      <c r="A31" s="42" t="s">
        <v>75</v>
      </c>
      <c r="B31" s="42" t="s">
        <v>39</v>
      </c>
      <c r="C31" s="42" t="s">
        <v>76</v>
      </c>
      <c r="D31" s="42" t="s">
        <v>77</v>
      </c>
      <c r="E31" s="42" t="s">
        <v>78</v>
      </c>
    </row>
    <row r="32" customFormat="false" ht="15" hidden="false" customHeight="true" outlineLevel="0" collapsed="false">
      <c r="A32" s="43" t="n">
        <v>1</v>
      </c>
      <c r="B32" s="44" t="s">
        <v>44</v>
      </c>
      <c r="C32" s="41" t="n">
        <f aca="false">D28</f>
        <v>0.0468194663013479</v>
      </c>
      <c r="D32" s="40" t="n">
        <f aca="false">D26</f>
        <v>2385866</v>
      </c>
      <c r="E32" s="41" t="n">
        <f aca="false">D27</f>
        <v>1.17680953259393</v>
      </c>
    </row>
    <row r="33" customFormat="false" ht="15" hidden="false" customHeight="true" outlineLevel="0" collapsed="false">
      <c r="A33" s="45" t="n">
        <v>2</v>
      </c>
      <c r="B33" s="46" t="s">
        <v>43</v>
      </c>
      <c r="C33" s="47" t="n">
        <f aca="false">C28</f>
        <v>0.0373599283774055</v>
      </c>
      <c r="D33" s="48" t="n">
        <f aca="false">C26</f>
        <v>1667928</v>
      </c>
      <c r="E33" s="47" t="n">
        <f aca="false">C27</f>
        <v>0.865524484814268</v>
      </c>
    </row>
    <row r="34" customFormat="false" ht="15" hidden="false" customHeight="true" outlineLevel="0" collapsed="false">
      <c r="A34" s="43" t="n">
        <v>3</v>
      </c>
      <c r="B34" s="44" t="s">
        <v>42</v>
      </c>
      <c r="C34" s="41" t="n">
        <f aca="false">B28</f>
        <v>0.0232478054996148</v>
      </c>
      <c r="D34" s="40" t="n">
        <f aca="false">B26</f>
        <v>1438162</v>
      </c>
      <c r="E34" s="41" t="n">
        <f aca="false">B27</f>
        <v>0.477998429230798</v>
      </c>
    </row>
    <row r="35" customFormat="false" ht="15" hidden="false" customHeight="true" outlineLevel="0" collapsed="false">
      <c r="A35" s="45" t="n">
        <v>4</v>
      </c>
      <c r="B35" s="46" t="s">
        <v>79</v>
      </c>
      <c r="C35" s="47" t="n">
        <f aca="false">I28</f>
        <v>0.0186238795485096</v>
      </c>
      <c r="D35" s="48" t="n">
        <f aca="false">I26</f>
        <v>12271690</v>
      </c>
      <c r="E35" s="47" t="n">
        <f aca="false">I27</f>
        <v>0.368470698378006</v>
      </c>
    </row>
    <row r="36" customFormat="false" ht="15" hidden="false" customHeight="true" outlineLevel="0" collapsed="false">
      <c r="A36" s="43" t="n">
        <v>5</v>
      </c>
      <c r="B36" s="44" t="s">
        <v>80</v>
      </c>
      <c r="C36" s="41" t="n">
        <f aca="false">E28</f>
        <v>0.00456754336817866</v>
      </c>
      <c r="D36" s="40" t="n">
        <f aca="false">E26</f>
        <v>143006</v>
      </c>
      <c r="E36" s="41" t="n">
        <f aca="false">E27</f>
        <v>0.0805513763850172</v>
      </c>
    </row>
    <row r="37" customFormat="false" ht="15" hidden="false" customHeight="true" outlineLevel="0" collapsed="false">
      <c r="A37" s="45" t="n">
        <v>6</v>
      </c>
      <c r="B37" s="46" t="s">
        <v>46</v>
      </c>
      <c r="C37" s="47" t="n">
        <f aca="false">F28</f>
        <v>-0.0453584153074156</v>
      </c>
      <c r="D37" s="48" t="n">
        <f aca="false">F26</f>
        <v>-2493261</v>
      </c>
      <c r="E37" s="47" t="n">
        <f aca="false">F27</f>
        <v>-0.545759424747041</v>
      </c>
    </row>
    <row r="40" customFormat="false" ht="15" hidden="false" customHeight="true" outlineLevel="0" collapsed="false">
      <c r="A40" s="39" t="s">
        <v>81</v>
      </c>
    </row>
    <row r="41" customFormat="false" ht="23.25" hidden="false" customHeight="true" outlineLevel="0" collapsed="false">
      <c r="A41" s="31" t="s">
        <v>1</v>
      </c>
      <c r="B41" s="31" t="s">
        <v>60</v>
      </c>
      <c r="C41" s="31" t="s">
        <v>61</v>
      </c>
      <c r="D41" s="31" t="s">
        <v>62</v>
      </c>
      <c r="E41" s="31" t="s">
        <v>63</v>
      </c>
      <c r="F41" s="31" t="s">
        <v>64</v>
      </c>
      <c r="G41" s="31" t="s">
        <v>65</v>
      </c>
      <c r="H41" s="31" t="s">
        <v>66</v>
      </c>
      <c r="I41" s="31" t="s">
        <v>67</v>
      </c>
      <c r="J41" s="31" t="s">
        <v>68</v>
      </c>
    </row>
    <row r="42" customFormat="false" ht="15" hidden="false" customHeight="true" outlineLevel="0" collapsed="false">
      <c r="A42" s="44" t="s">
        <v>13</v>
      </c>
      <c r="B42" s="41" t="n">
        <f aca="false">IFERROR((B5-B4)/B4,"")</f>
        <v>0.0806283874488694</v>
      </c>
      <c r="C42" s="41" t="n">
        <f aca="false">IFERROR((C5-C4)/C4,"")</f>
        <v>0.0178394995101377</v>
      </c>
      <c r="D42" s="41" t="n">
        <f aca="false">IFERROR((D5-D4)/D4,"")</f>
        <v>0.0477428748713871</v>
      </c>
      <c r="E42" s="41" t="n">
        <f aca="false">IFERROR((E5-E4)/E4,"")</f>
        <v>0.0284165446711867</v>
      </c>
      <c r="F42" s="41" t="n">
        <f aca="false">IFERROR((F5-F4)/F4,"")</f>
        <v>-0.136258776274099</v>
      </c>
      <c r="G42" s="41" t="n">
        <f aca="false">IFERROR((G5-G4)/G4,"")</f>
        <v>-0.300897099227371</v>
      </c>
      <c r="H42" s="41" t="n">
        <f aca="false">IFERROR((H5-H4)/H4,"")</f>
        <v>-0.0218088418088418</v>
      </c>
      <c r="I42" s="41" t="n">
        <f aca="false">IFERROR((I5-I4)/I4,"")</f>
        <v>0.0297566821906485</v>
      </c>
      <c r="J42" s="41" t="n">
        <f aca="false">IFERROR((J5-J4)/J4,"")</f>
        <v>0.0147768244361747</v>
      </c>
    </row>
    <row r="43" customFormat="false" ht="15" hidden="false" customHeight="true" outlineLevel="0" collapsed="false">
      <c r="A43" s="46" t="s">
        <v>14</v>
      </c>
      <c r="B43" s="47" t="n">
        <f aca="false">IFERROR((B6-B5)/B5,"")</f>
        <v>0.0511345444367723</v>
      </c>
      <c r="C43" s="47" t="n">
        <f aca="false">IFERROR((C6-C5)/C5,"")</f>
        <v>0.0469015269316067</v>
      </c>
      <c r="D43" s="47" t="n">
        <f aca="false">IFERROR((D6-D5)/D5,"")</f>
        <v>0.0152189345992554</v>
      </c>
      <c r="E43" s="47" t="n">
        <f aca="false">IFERROR((E6-E5)/E5,"")</f>
        <v>-0.0277551391508762</v>
      </c>
      <c r="F43" s="47" t="n">
        <f aca="false">IFERROR((F6-F5)/F5,"")</f>
        <v>-0.0391929724169443</v>
      </c>
      <c r="G43" s="47" t="n">
        <f aca="false">IFERROR((G6-G5)/G5,"")</f>
        <v>-0.344040541772877</v>
      </c>
      <c r="H43" s="47" t="n">
        <f aca="false">IFERROR((H6-H5)/H5,"")</f>
        <v>0.000451534554013481</v>
      </c>
      <c r="I43" s="47" t="n">
        <f aca="false">IFERROR((I6-I5)/I5,"")</f>
        <v>0.015521346834342</v>
      </c>
      <c r="J43" s="47" t="n">
        <f aca="false">IFERROR((J6-J5)/J5,"")</f>
        <v>0.0113013775557439</v>
      </c>
    </row>
    <row r="44" customFormat="false" ht="15" hidden="false" customHeight="true" outlineLevel="0" collapsed="false">
      <c r="A44" s="44" t="s">
        <v>15</v>
      </c>
      <c r="B44" s="41" t="n">
        <f aca="false">IFERROR((B7-B6)/B6,"")</f>
        <v>0.0503131035923593</v>
      </c>
      <c r="C44" s="41" t="n">
        <f aca="false">IFERROR((C7-C6)/C6,"")</f>
        <v>-0.0111067011777769</v>
      </c>
      <c r="D44" s="41" t="n">
        <f aca="false">IFERROR((D7-D6)/D6,"")</f>
        <v>0.0848564634569335</v>
      </c>
      <c r="E44" s="41" t="n">
        <f aca="false">IFERROR((E7-E6)/E6,"")</f>
        <v>-0.0406914940062971</v>
      </c>
      <c r="F44" s="41" t="n">
        <f aca="false">IFERROR((F7-F6)/F6,"")</f>
        <v>-0.0102026120965879</v>
      </c>
      <c r="G44" s="41" t="n">
        <f aca="false">IFERROR((G7-G6)/G6,"")</f>
        <v>0.0228261229353547</v>
      </c>
      <c r="H44" s="41" t="n">
        <f aca="false">IFERROR((H7-H6)/H6,"")</f>
        <v>0.0168356190867277</v>
      </c>
      <c r="I44" s="41" t="n">
        <f aca="false">IFERROR((I7-I6)/I6,"")</f>
        <v>-0.0223593135170131</v>
      </c>
      <c r="J44" s="41" t="n">
        <f aca="false">IFERROR((J7-J6)/J6,"")</f>
        <v>-0.0115013888363003</v>
      </c>
    </row>
    <row r="45" customFormat="false" ht="15" hidden="false" customHeight="true" outlineLevel="0" collapsed="false">
      <c r="A45" s="46" t="s">
        <v>16</v>
      </c>
      <c r="B45" s="47" t="n">
        <f aca="false">IFERROR((B8-B7)/B7,"")</f>
        <v>0.0417695243385791</v>
      </c>
      <c r="C45" s="47" t="n">
        <f aca="false">IFERROR((C8-C7)/C7,"")</f>
        <v>0.0229583017751071</v>
      </c>
      <c r="D45" s="47" t="n">
        <f aca="false">IFERROR((D8-D7)/D7,"")</f>
        <v>0.113939232808111</v>
      </c>
      <c r="E45" s="47" t="n">
        <f aca="false">IFERROR((E8-E7)/E7,"")</f>
        <v>0.0470649446438125</v>
      </c>
      <c r="F45" s="47" t="n">
        <f aca="false">IFERROR((F8-F7)/F7,"")</f>
        <v>-0.184158302916669</v>
      </c>
      <c r="G45" s="47" t="n">
        <f aca="false">IFERROR((G8-G7)/G7,"")</f>
        <v>1.66895141194669</v>
      </c>
      <c r="H45" s="47" t="n">
        <f aca="false">IFERROR((H8-H7)/H7,"")</f>
        <v>0.0081097148334913</v>
      </c>
      <c r="I45" s="47" t="n">
        <f aca="false">IFERROR((I8-I7)/I7,"")</f>
        <v>0.0814294105553761</v>
      </c>
      <c r="J45" s="47" t="n">
        <f aca="false">IFERROR((J8-J7)/J7,"")</f>
        <v>0.0605358602031796</v>
      </c>
    </row>
    <row r="46" customFormat="false" ht="15" hidden="false" customHeight="true" outlineLevel="0" collapsed="false">
      <c r="A46" s="44" t="s">
        <v>17</v>
      </c>
      <c r="B46" s="41" t="n">
        <f aca="false">IFERROR((B9-B8)/B8,"")</f>
        <v>-0.126446774502806</v>
      </c>
      <c r="C46" s="41" t="n">
        <f aca="false">IFERROR((C9-C8)/C8,"")</f>
        <v>0.0646814213737533</v>
      </c>
      <c r="D46" s="41" t="n">
        <f aca="false">IFERROR((D9-D8)/D8,"")</f>
        <v>0.255217986233741</v>
      </c>
      <c r="E46" s="41" t="n">
        <f aca="false">IFERROR((E9-E8)/E8,"")</f>
        <v>-0.222877163385636</v>
      </c>
      <c r="F46" s="41" t="n">
        <f aca="false">IFERROR((F9-F8)/F8,"")</f>
        <v>-0.315410921989985</v>
      </c>
      <c r="G46" s="41" t="n">
        <f aca="false">IFERROR((G9-G8)/G8,"")</f>
        <v>0.276616847859036</v>
      </c>
      <c r="H46" s="41" t="n">
        <f aca="false">IFERROR((H9-H8)/H8,"")</f>
        <v>-0.0674233500932075</v>
      </c>
      <c r="I46" s="41" t="n">
        <f aca="false">IFERROR((I9-I8)/I8,"")</f>
        <v>0.0190803819172393</v>
      </c>
      <c r="J46" s="41" t="n">
        <f aca="false">IFERROR((J9-J8)/J8,"")</f>
        <v>-0.00435159206932687</v>
      </c>
    </row>
    <row r="47" customFormat="false" ht="15" hidden="false" customHeight="true" outlineLevel="0" collapsed="false">
      <c r="A47" s="46" t="s">
        <v>18</v>
      </c>
      <c r="B47" s="47" t="n">
        <f aca="false">IFERROR((B10-B9)/B9,"")</f>
        <v>0.0764976050014097</v>
      </c>
      <c r="C47" s="47" t="n">
        <f aca="false">IFERROR((C10-C9)/C9,"")</f>
        <v>0.055386599313263</v>
      </c>
      <c r="D47" s="47" t="n">
        <f aca="false">IFERROR((D10-D9)/D9,"")</f>
        <v>-0.0383198708975694</v>
      </c>
      <c r="E47" s="47" t="n">
        <f aca="false">IFERROR((E10-E9)/E9,"")</f>
        <v>0.0368712882434068</v>
      </c>
      <c r="F47" s="47" t="n">
        <f aca="false">IFERROR((F10-F9)/F9,"")</f>
        <v>-0.00107305249798415</v>
      </c>
      <c r="G47" s="47" t="n">
        <f aca="false">IFERROR((G10-G9)/G9,"")</f>
        <v>0.183527820571513</v>
      </c>
      <c r="H47" s="47" t="n">
        <f aca="false">IFERROR((H10-H9)/H9,"")</f>
        <v>0.0307652849342098</v>
      </c>
      <c r="I47" s="47" t="n">
        <f aca="false">IFERROR((I10-I9)/I9,"")</f>
        <v>0.0413571949378747</v>
      </c>
      <c r="J47" s="47" t="n">
        <f aca="false">IFERROR((J10-J9)/J9,"")</f>
        <v>0.0386698287557939</v>
      </c>
    </row>
    <row r="48" customFormat="false" ht="15" hidden="false" customHeight="true" outlineLevel="0" collapsed="false">
      <c r="A48" s="44" t="s">
        <v>19</v>
      </c>
      <c r="B48" s="41" t="n">
        <f aca="false">IFERROR((B11-B10)/B10,"")</f>
        <v>-0.021174831920275</v>
      </c>
      <c r="C48" s="41" t="n">
        <f aca="false">IFERROR((C11-C10)/C10,"")</f>
        <v>0.0680674277840995</v>
      </c>
      <c r="D48" s="41" t="n">
        <f aca="false">IFERROR((D11-D10)/D10,"")</f>
        <v>0.0282124157898234</v>
      </c>
      <c r="E48" s="41" t="n">
        <f aca="false">IFERROR((E11-E10)/E10,"")</f>
        <v>0.0231269675880007</v>
      </c>
      <c r="F48" s="41" t="n">
        <f aca="false">IFERROR((F11-F10)/F10,"")</f>
        <v>-0.0576865852359597</v>
      </c>
      <c r="G48" s="41" t="n">
        <f aca="false">IFERROR((G11-G10)/G10,"")</f>
        <v>0.158275298094347</v>
      </c>
      <c r="H48" s="41" t="n">
        <f aca="false">IFERROR((H11-H10)/H10,"")</f>
        <v>0.0140101978349563</v>
      </c>
      <c r="I48" s="41" t="n">
        <f aca="false">IFERROR((I11-I10)/I10,"")</f>
        <v>0.0149897684141802</v>
      </c>
      <c r="J48" s="41" t="n">
        <f aca="false">IFERROR((J11-J10)/J10,"")</f>
        <v>0.0147431244081481</v>
      </c>
    </row>
    <row r="49" customFormat="false" ht="15" hidden="false" customHeight="true" outlineLevel="0" collapsed="false">
      <c r="A49" s="46" t="s">
        <v>20</v>
      </c>
      <c r="B49" s="47" t="n">
        <f aca="false">IFERROR((B12-B11)/B11,"")</f>
        <v>-0.0191018368547585</v>
      </c>
      <c r="C49" s="47" t="n">
        <f aca="false">IFERROR((C12-C11)/C11,"")</f>
        <v>0.0787127420137032</v>
      </c>
      <c r="D49" s="47" t="n">
        <f aca="false">IFERROR((D12-D11)/D11,"")</f>
        <v>0.0358767588336243</v>
      </c>
      <c r="E49" s="47" t="n">
        <f aca="false">IFERROR((E12-E11)/E11,"")</f>
        <v>0.0289833381861127</v>
      </c>
      <c r="F49" s="47" t="n">
        <f aca="false">IFERROR((F12-F11)/F11,"")</f>
        <v>-0.0361910033423456</v>
      </c>
      <c r="G49" s="47" t="n">
        <f aca="false">IFERROR((G12-G11)/G11,"")</f>
        <v>0.293232342968158</v>
      </c>
      <c r="H49" s="47" t="n">
        <f aca="false">IFERROR((H12-H11)/H11,"")</f>
        <v>0.0321989920265977</v>
      </c>
      <c r="I49" s="47" t="n">
        <f aca="false">IFERROR((I12-I11)/I11,"")</f>
        <v>0.0033678505977856</v>
      </c>
      <c r="J49" s="47" t="n">
        <f aca="false">IFERROR((J12-J11)/J11,"")</f>
        <v>0.0106219395142758</v>
      </c>
    </row>
    <row r="50" customFormat="false" ht="15" hidden="false" customHeight="true" outlineLevel="0" collapsed="false">
      <c r="A50" s="44" t="s">
        <v>21</v>
      </c>
      <c r="B50" s="41" t="n">
        <f aca="false">IFERROR((B13-B12)/B12,"")</f>
        <v>0.0943767630371451</v>
      </c>
      <c r="C50" s="41" t="n">
        <f aca="false">IFERROR((C13-C12)/C12,"")</f>
        <v>-4.42507657427677E-005</v>
      </c>
      <c r="D50" s="41" t="n">
        <f aca="false">IFERROR((D13-D12)/D12,"")</f>
        <v>0.00814469320561276</v>
      </c>
      <c r="E50" s="41" t="n">
        <f aca="false">IFERROR((E13-E12)/E12,"")</f>
        <v>0.0356232380771041</v>
      </c>
      <c r="F50" s="41" t="n">
        <f aca="false">IFERROR((F13-F12)/F12,"")</f>
        <v>-0.0311338724962739</v>
      </c>
      <c r="G50" s="41" t="n">
        <f aca="false">IFERROR((G13-G12)/G12,"")</f>
        <v>0.306227063052831</v>
      </c>
      <c r="H50" s="41" t="n">
        <f aca="false">IFERROR((H13-H12)/H12,"")</f>
        <v>0.0455036413172127</v>
      </c>
      <c r="I50" s="41" t="n">
        <f aca="false">IFERROR((I13-I12)/I12,"")</f>
        <v>-0.00226925896153246</v>
      </c>
      <c r="J50" s="41" t="n">
        <f aca="false">IFERROR((J13-J12)/J12,"")</f>
        <v>0.0100073198060688</v>
      </c>
    </row>
    <row r="51" customFormat="false" ht="15" hidden="false" customHeight="true" outlineLevel="0" collapsed="false">
      <c r="A51" s="46" t="s">
        <v>22</v>
      </c>
      <c r="B51" s="47" t="n">
        <f aca="false">IFERROR((B14-B13)/B13,"")</f>
        <v>-0.0329328012150743</v>
      </c>
      <c r="C51" s="47" t="n">
        <f aca="false">IFERROR((C14-C13)/C13,"")</f>
        <v>0.0632505299170726</v>
      </c>
      <c r="D51" s="47" t="n">
        <f aca="false">IFERROR((D14-D13)/D13,"")</f>
        <v>0.0416970352919444</v>
      </c>
      <c r="E51" s="47" t="n">
        <f aca="false">IFERROR((E14-E13)/E13,"")</f>
        <v>0.0261128142009175</v>
      </c>
      <c r="F51" s="47" t="n">
        <f aca="false">IFERROR((F14-F13)/F13,"")</f>
        <v>-0.0274661748086324</v>
      </c>
      <c r="G51" s="47" t="n">
        <f aca="false">IFERROR((G14-G13)/G13,"")</f>
        <v>0.113870076518224</v>
      </c>
      <c r="H51" s="47" t="n">
        <f aca="false">IFERROR((H14-H13)/H13,"")</f>
        <v>0.0221249042371383</v>
      </c>
      <c r="I51" s="47" t="n">
        <f aca="false">IFERROR((I14-I13)/I13,"")</f>
        <v>0.0234564790022754</v>
      </c>
      <c r="J51" s="47" t="n">
        <f aca="false">IFERROR((J14-J13)/J13,"")</f>
        <v>0.0231022677679634</v>
      </c>
    </row>
    <row r="52" customFormat="false" ht="15" hidden="false" customHeight="true" outlineLevel="0" collapsed="false">
      <c r="A52" s="44" t="s">
        <v>23</v>
      </c>
      <c r="B52" s="41" t="n">
        <f aca="false">IFERROR((B15-B14)/B14,"")</f>
        <v>0.0202122223173741</v>
      </c>
      <c r="C52" s="41" t="n">
        <f aca="false">IFERROR((C15-C14)/C14,"")</f>
        <v>0.0232037988421184</v>
      </c>
      <c r="D52" s="41" t="n">
        <f aca="false">IFERROR((D15-D14)/D14,"")</f>
        <v>0.00840374583521372</v>
      </c>
      <c r="E52" s="41" t="n">
        <f aca="false">IFERROR((E15-E14)/E14,"")</f>
        <v>0.00457899956325303</v>
      </c>
      <c r="F52" s="41" t="n">
        <f aca="false">IFERROR((F15-F14)/F14,"")</f>
        <v>-0.0453494122230371</v>
      </c>
      <c r="G52" s="41" t="n">
        <f aca="false">IFERROR((G15-G14)/G14,"")</f>
        <v>0.0139777740137127</v>
      </c>
      <c r="H52" s="41" t="n">
        <f aca="false">IFERROR((H15-H14)/H14,"")</f>
        <v>0.00769828399798941</v>
      </c>
      <c r="I52" s="41" t="n">
        <f aca="false">IFERROR((I15-I14)/I14,"")</f>
        <v>-0.00214243853510171</v>
      </c>
      <c r="J52" s="41" t="n">
        <f aca="false">IFERROR((J15-J14)/J14,"")</f>
        <v>0.000472784209332644</v>
      </c>
    </row>
    <row r="53" customFormat="false" ht="15" hidden="false" customHeight="true" outlineLevel="0" collapsed="false">
      <c r="A53" s="46" t="s">
        <v>24</v>
      </c>
      <c r="B53" s="47" t="n">
        <f aca="false">IFERROR((B16-B15)/B15,"")</f>
        <v>0.0235602833883379</v>
      </c>
      <c r="C53" s="47" t="n">
        <f aca="false">IFERROR((C16-C15)/C15,"")</f>
        <v>0.0161218595871997</v>
      </c>
      <c r="D53" s="47" t="n">
        <f aca="false">IFERROR((D16-D15)/D15,"")</f>
        <v>0.0512064872804584</v>
      </c>
      <c r="E53" s="47" t="n">
        <f aca="false">IFERROR((E16-E15)/E15,"")</f>
        <v>0.0333635144156988</v>
      </c>
      <c r="F53" s="47" t="n">
        <f aca="false">IFERROR((F16-F15)/F15,"")</f>
        <v>0.213251754691113</v>
      </c>
      <c r="G53" s="47" t="n">
        <f aca="false">IFERROR((G16-G15)/G15,"")</f>
        <v>-0.289659730544359</v>
      </c>
      <c r="H53" s="47" t="n">
        <f aca="false">IFERROR((H16-H15)/H15,"")</f>
        <v>0.0225725661226977</v>
      </c>
      <c r="I53" s="47" t="n">
        <f aca="false">IFERROR((I16-I15)/I15,"")</f>
        <v>0.0169615074414028</v>
      </c>
      <c r="J53" s="47" t="n">
        <f aca="false">IFERROR((J16-J15)/J15,"")</f>
        <v>0.0184634445531382</v>
      </c>
    </row>
    <row r="54" customFormat="false" ht="15" hidden="false" customHeight="true" outlineLevel="0" collapsed="false">
      <c r="A54" s="44" t="s">
        <v>25</v>
      </c>
      <c r="B54" s="41" t="n">
        <f aca="false">IFERROR((B17-B16)/B16,"")</f>
        <v>0.0132847538890132</v>
      </c>
      <c r="C54" s="41" t="n">
        <f aca="false">IFERROR((C17-C16)/C16,"")</f>
        <v>0.043084122964474</v>
      </c>
      <c r="D54" s="41" t="n">
        <f aca="false">IFERROR((D17-D16)/D16,"")</f>
        <v>-0.0116448591416005</v>
      </c>
      <c r="E54" s="41" t="n">
        <f aca="false">IFERROR((E17-E16)/E16,"")</f>
        <v>0.0134762101679882</v>
      </c>
      <c r="F54" s="41" t="n">
        <f aca="false">IFERROR((F17-F16)/F16,"")</f>
        <v>0</v>
      </c>
      <c r="G54" s="41" t="n">
        <f aca="false">IFERROR((G17-G16)/G16,"")</f>
        <v>-0.160215616666939</v>
      </c>
      <c r="H54" s="41" t="n">
        <f aca="false">IFERROR((H17-H16)/H16,"")</f>
        <v>0</v>
      </c>
      <c r="I54" s="41" t="n">
        <f aca="false">IFERROR((I17-I16)/I16,"")</f>
        <v>0.00192758359809882</v>
      </c>
      <c r="J54" s="41" t="n">
        <f aca="false">IFERROR((J17-J16)/J16,"")</f>
        <v>0.00140953696955261</v>
      </c>
    </row>
    <row r="55" customFormat="false" ht="15" hidden="false" customHeight="true" outlineLevel="0" collapsed="false">
      <c r="A55" s="46" t="s">
        <v>26</v>
      </c>
      <c r="B55" s="47" t="n">
        <f aca="false">IFERROR((B18-B17)/B17,"")</f>
        <v>0.0667658490074493</v>
      </c>
      <c r="C55" s="47" t="n">
        <f aca="false">IFERROR((C18-C17)/C17,"")</f>
        <v>0.032339688309879</v>
      </c>
      <c r="D55" s="47" t="n">
        <f aca="false">IFERROR((D18-D17)/D17,"")</f>
        <v>0.03469273497527</v>
      </c>
      <c r="E55" s="47" t="n">
        <f aca="false">IFERROR((E18-E17)/E17,"")</f>
        <v>0.00414001665231666</v>
      </c>
      <c r="F55" s="47" t="n">
        <f aca="false">IFERROR((F18-F17)/F17,"")</f>
        <v>0</v>
      </c>
      <c r="G55" s="47" t="n">
        <f aca="false">IFERROR((G18-G17)/G17,"")</f>
        <v>0.0748573056580985</v>
      </c>
      <c r="H55" s="47" t="n">
        <f aca="false">IFERROR((H18-H17)/H17,"")</f>
        <v>0.0362300007290907</v>
      </c>
      <c r="I55" s="47" t="n">
        <f aca="false">IFERROR((I18-I17)/I17,"")</f>
        <v>0.0123544743869354</v>
      </c>
      <c r="J55" s="47" t="n">
        <f aca="false">IFERROR((J18-J17)/J17,"")</f>
        <v>0.0187620960476763</v>
      </c>
    </row>
    <row r="56" customFormat="false" ht="15" hidden="false" customHeight="true" outlineLevel="0" collapsed="false">
      <c r="A56" s="44" t="s">
        <v>27</v>
      </c>
      <c r="B56" s="41" t="n">
        <f aca="false">IFERROR((B19-B18)/B18,"")</f>
        <v>-0.0166848855951292</v>
      </c>
      <c r="C56" s="41" t="n">
        <f aca="false">IFERROR((C19-C18)/C18,"")</f>
        <v>0.0104484466034582</v>
      </c>
      <c r="D56" s="41" t="n">
        <f aca="false">IFERROR((D19-D18)/D18,"")</f>
        <v>0.00871564214746753</v>
      </c>
      <c r="E56" s="41" t="n">
        <f aca="false">IFERROR((E19-E18)/E18,"")</f>
        <v>0.0489624317676026</v>
      </c>
      <c r="F56" s="41" t="n">
        <f aca="false">IFERROR((F19-F18)/F18,"")</f>
        <v>0</v>
      </c>
      <c r="G56" s="41" t="n">
        <f aca="false">IFERROR((G19-G18)/G18,"")</f>
        <v>-0.186445919265444</v>
      </c>
      <c r="H56" s="41" t="n">
        <f aca="false">IFERROR((H19-H18)/H18,"")</f>
        <v>-0.00522516386859134</v>
      </c>
      <c r="I56" s="41" t="n">
        <f aca="false">IFERROR((I19-I18)/I18,"")</f>
        <v>0.00474922272199178</v>
      </c>
      <c r="J56" s="41" t="n">
        <f aca="false">IFERROR((J19-J18)/J18,"")</f>
        <v>0.0020264368621041</v>
      </c>
    </row>
    <row r="57" customFormat="false" ht="15" hidden="false" customHeight="true" outlineLevel="0" collapsed="false">
      <c r="A57" s="46" t="s">
        <v>28</v>
      </c>
      <c r="B57" s="47" t="n">
        <f aca="false">IFERROR((B20-B19)/B19,"")</f>
        <v>-0.00110840621221844</v>
      </c>
      <c r="C57" s="47" t="n">
        <f aca="false">IFERROR((C20-C19)/C19,"")</f>
        <v>0.000304838837333544</v>
      </c>
      <c r="D57" s="47" t="n">
        <f aca="false">IFERROR((D20-D19)/D19,"")</f>
        <v>0.0144569564633202</v>
      </c>
      <c r="E57" s="47" t="n">
        <f aca="false">IFERROR((E20-E19)/E19,"")</f>
        <v>0.0279828519906265</v>
      </c>
      <c r="F57" s="47" t="n">
        <f aca="false">IFERROR((F20-F19)/F19,"")</f>
        <v>0</v>
      </c>
      <c r="G57" s="47" t="n">
        <f aca="false">IFERROR((G20-G19)/G19,"")</f>
        <v>-0.0902521647236714</v>
      </c>
      <c r="H57" s="47" t="n">
        <f aca="false">IFERROR((H20-H19)/H19,"")</f>
        <v>0.00238361620546658</v>
      </c>
      <c r="I57" s="47" t="n">
        <f aca="false">IFERROR((I20-I19)/I19,"")</f>
        <v>0.0464870294489555</v>
      </c>
      <c r="J57" s="47" t="n">
        <f aca="false">IFERROR((J20-J19)/J19,"")</f>
        <v>0.0345349051135707</v>
      </c>
    </row>
    <row r="58" customFormat="false" ht="15" hidden="false" customHeight="true" outlineLevel="0" collapsed="false">
      <c r="A58" s="44" t="s">
        <v>30</v>
      </c>
      <c r="B58" s="41" t="n">
        <f aca="false">IFERROR((B21-B20)/B20,"")</f>
        <v>0.122478991755727</v>
      </c>
      <c r="C58" s="41" t="n">
        <f aca="false">IFERROR((C21-C20)/C20,"")</f>
        <v>0.111117292570319</v>
      </c>
      <c r="D58" s="41" t="n">
        <f aca="false">IFERROR((D21-D20)/D20,"")</f>
        <v>0.130623247358581</v>
      </c>
      <c r="E58" s="41" t="n">
        <f aca="false">IFERROR((E21-E20)/E20,"")</f>
        <v>0.0476799809507269</v>
      </c>
      <c r="F58" s="41" t="n">
        <f aca="false">IFERROR((F21-F20)/F20,"")</f>
        <v>0</v>
      </c>
      <c r="G58" s="41" t="n">
        <f aca="false">IFERROR((G21-G20)/G20,"")</f>
        <v>0</v>
      </c>
      <c r="H58" s="41" t="n">
        <f aca="false">IFERROR((H21-H20)/H20,"")</f>
        <v>0.0920755497715857</v>
      </c>
      <c r="I58" s="41" t="n">
        <f aca="false">IFERROR((I21-I20)/I20,"")</f>
        <v>0.0363062201622757</v>
      </c>
      <c r="J58" s="41" t="n">
        <f aca="false">IFERROR((J21-J20)/J20,"")</f>
        <v>0.0509501330251125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8" min="8" style="1" width="16"/>
  </cols>
  <sheetData>
    <row r="1" customFormat="false" ht="15" hidden="false" customHeight="true" outlineLevel="0" collapsed="false">
      <c r="A1" s="30" t="s">
        <v>82</v>
      </c>
      <c r="B1" s="30"/>
      <c r="C1" s="30"/>
      <c r="D1" s="30"/>
      <c r="E1" s="30"/>
      <c r="F1" s="30"/>
      <c r="G1" s="30"/>
      <c r="H1" s="30"/>
    </row>
    <row r="3" customFormat="false" ht="15" hidden="false" customHeight="true" outlineLevel="0" collapsed="false">
      <c r="A3" s="49" t="s">
        <v>1</v>
      </c>
      <c r="B3" s="49" t="s">
        <v>4</v>
      </c>
      <c r="C3" s="49" t="s">
        <v>83</v>
      </c>
      <c r="D3" s="49" t="s">
        <v>84</v>
      </c>
      <c r="E3" s="49" t="s">
        <v>3</v>
      </c>
      <c r="F3" s="49" t="s">
        <v>85</v>
      </c>
      <c r="G3" s="49" t="s">
        <v>86</v>
      </c>
      <c r="H3" s="49" t="s">
        <v>2</v>
      </c>
    </row>
    <row r="4" customFormat="false" ht="15" hidden="false" customHeight="true" outlineLevel="0" collapsed="false">
      <c r="A4" s="44" t="s">
        <v>12</v>
      </c>
      <c r="B4" s="40" t="n">
        <f aca="false">'Department Trends'!H4</f>
        <v>13636350</v>
      </c>
      <c r="C4" s="50"/>
      <c r="D4" s="41"/>
      <c r="E4" s="40" t="n">
        <f aca="false">'Department Trends'!I4</f>
        <v>33304385</v>
      </c>
      <c r="F4" s="50"/>
      <c r="G4" s="41"/>
      <c r="H4" s="34" t="n">
        <f aca="false">B4+E4</f>
        <v>46940735</v>
      </c>
    </row>
    <row r="5" customFormat="false" ht="15" hidden="false" customHeight="true" outlineLevel="0" collapsed="false">
      <c r="A5" s="46" t="s">
        <v>13</v>
      </c>
      <c r="B5" s="48" t="n">
        <f aca="false">'Department Trends'!H5</f>
        <v>13338957</v>
      </c>
      <c r="C5" s="51" t="n">
        <f aca="false">B5-B4</f>
        <v>-297393</v>
      </c>
      <c r="D5" s="47" t="n">
        <f aca="false">IFERROR((B5-B4)/B4,"")</f>
        <v>-0.0218088418088418</v>
      </c>
      <c r="E5" s="48" t="n">
        <f aca="false">'Department Trends'!I5</f>
        <v>34295413</v>
      </c>
      <c r="F5" s="51" t="n">
        <f aca="false">E5-E4</f>
        <v>991028</v>
      </c>
      <c r="G5" s="47" t="n">
        <f aca="false">IFERROR((E5-E4)/E4,"")</f>
        <v>0.0297566821906485</v>
      </c>
      <c r="H5" s="37" t="n">
        <f aca="false">B5+E5</f>
        <v>47634370</v>
      </c>
    </row>
    <row r="6" customFormat="false" ht="15" hidden="false" customHeight="true" outlineLevel="0" collapsed="false">
      <c r="A6" s="44" t="s">
        <v>14</v>
      </c>
      <c r="B6" s="40" t="n">
        <f aca="false">'Department Trends'!H6</f>
        <v>13344980</v>
      </c>
      <c r="C6" s="50" t="n">
        <f aca="false">B6-B5</f>
        <v>6023</v>
      </c>
      <c r="D6" s="41" t="n">
        <f aca="false">IFERROR((B6-B5)/B5,"")</f>
        <v>0.000451534554013481</v>
      </c>
      <c r="E6" s="40" t="n">
        <f aca="false">'Department Trends'!I6</f>
        <v>34827724</v>
      </c>
      <c r="F6" s="50" t="n">
        <f aca="false">E6-E5</f>
        <v>532311</v>
      </c>
      <c r="G6" s="41" t="n">
        <f aca="false">IFERROR((E6-E5)/E5,"")</f>
        <v>0.015521346834342</v>
      </c>
      <c r="H6" s="34" t="n">
        <f aca="false">B6+E6</f>
        <v>48172704</v>
      </c>
    </row>
    <row r="7" customFormat="false" ht="15" hidden="false" customHeight="true" outlineLevel="0" collapsed="false">
      <c r="A7" s="46" t="s">
        <v>15</v>
      </c>
      <c r="B7" s="48" t="n">
        <f aca="false">'Department Trends'!H7</f>
        <v>13569651</v>
      </c>
      <c r="C7" s="51" t="n">
        <f aca="false">B7-B6</f>
        <v>224671</v>
      </c>
      <c r="D7" s="47" t="n">
        <f aca="false">IFERROR((B7-B6)/B6,"")</f>
        <v>0.0168356190867277</v>
      </c>
      <c r="E7" s="48" t="n">
        <f aca="false">'Department Trends'!I7</f>
        <v>34049000</v>
      </c>
      <c r="F7" s="51" t="n">
        <f aca="false">E7-E6</f>
        <v>-778724</v>
      </c>
      <c r="G7" s="47" t="n">
        <f aca="false">IFERROR((E7-E6)/E6,"")</f>
        <v>-0.0223593135170131</v>
      </c>
      <c r="H7" s="37" t="n">
        <f aca="false">B7+E7</f>
        <v>47618651</v>
      </c>
    </row>
    <row r="8" customFormat="false" ht="15" hidden="false" customHeight="true" outlineLevel="0" collapsed="false">
      <c r="A8" s="44" t="s">
        <v>16</v>
      </c>
      <c r="B8" s="40" t="n">
        <f aca="false">'Department Trends'!H8</f>
        <v>13679697</v>
      </c>
      <c r="C8" s="50" t="n">
        <f aca="false">B8-B7</f>
        <v>110046</v>
      </c>
      <c r="D8" s="41" t="n">
        <f aca="false">IFERROR((B8-B7)/B7,"")</f>
        <v>0.0081097148334913</v>
      </c>
      <c r="E8" s="40" t="n">
        <f aca="false">'Department Trends'!I8</f>
        <v>36821590</v>
      </c>
      <c r="F8" s="50" t="n">
        <f aca="false">E8-E7</f>
        <v>2772590</v>
      </c>
      <c r="G8" s="41" t="n">
        <f aca="false">IFERROR((E8-E7)/E7,"")</f>
        <v>0.0814294105553761</v>
      </c>
      <c r="H8" s="34" t="n">
        <f aca="false">B8+E8</f>
        <v>50501287</v>
      </c>
    </row>
    <row r="9" customFormat="false" ht="15" hidden="false" customHeight="true" outlineLevel="0" collapsed="false">
      <c r="A9" s="46" t="s">
        <v>17</v>
      </c>
      <c r="B9" s="48" t="n">
        <f aca="false">'Department Trends'!H9</f>
        <v>12757366</v>
      </c>
      <c r="C9" s="51" t="n">
        <f aca="false">B9-B8</f>
        <v>-922331</v>
      </c>
      <c r="D9" s="47" t="n">
        <f aca="false">IFERROR((B9-B8)/B8,"")</f>
        <v>-0.0674233500932075</v>
      </c>
      <c r="E9" s="48" t="n">
        <f aca="false">'Department Trends'!I9</f>
        <v>37524160</v>
      </c>
      <c r="F9" s="51" t="n">
        <f aca="false">E9-E8</f>
        <v>702570</v>
      </c>
      <c r="G9" s="47" t="n">
        <f aca="false">IFERROR((E9-E8)/E8,"")</f>
        <v>0.0190803819172393</v>
      </c>
      <c r="H9" s="37" t="n">
        <f aca="false">B9+E9</f>
        <v>50281526</v>
      </c>
    </row>
    <row r="10" customFormat="false" ht="15" hidden="false" customHeight="true" outlineLevel="0" collapsed="false">
      <c r="A10" s="44" t="s">
        <v>18</v>
      </c>
      <c r="B10" s="40" t="n">
        <f aca="false">'Department Trends'!H10</f>
        <v>13149850</v>
      </c>
      <c r="C10" s="50" t="n">
        <f aca="false">B10-B9</f>
        <v>392484</v>
      </c>
      <c r="D10" s="41" t="n">
        <f aca="false">IFERROR((B10-B9)/B9,"")</f>
        <v>0.0307652849342098</v>
      </c>
      <c r="E10" s="40" t="n">
        <f aca="false">'Department Trends'!I10</f>
        <v>39076054</v>
      </c>
      <c r="F10" s="50" t="n">
        <f aca="false">E10-E9</f>
        <v>1551894</v>
      </c>
      <c r="G10" s="41" t="n">
        <f aca="false">IFERROR((E10-E9)/E9,"")</f>
        <v>0.0413571949378747</v>
      </c>
      <c r="H10" s="34" t="n">
        <f aca="false">B10+E10</f>
        <v>52225904</v>
      </c>
    </row>
    <row r="11" customFormat="false" ht="15" hidden="false" customHeight="true" outlineLevel="0" collapsed="false">
      <c r="A11" s="46" t="s">
        <v>19</v>
      </c>
      <c r="B11" s="48" t="n">
        <f aca="false">'Department Trends'!H11</f>
        <v>13334082</v>
      </c>
      <c r="C11" s="51" t="n">
        <f aca="false">B11-B10</f>
        <v>184232</v>
      </c>
      <c r="D11" s="47" t="n">
        <f aca="false">IFERROR((B11-B10)/B10,"")</f>
        <v>0.0140101978349563</v>
      </c>
      <c r="E11" s="48" t="n">
        <f aca="false">'Department Trends'!I11</f>
        <v>39661795</v>
      </c>
      <c r="F11" s="51" t="n">
        <f aca="false">E11-E10</f>
        <v>585741</v>
      </c>
      <c r="G11" s="47" t="n">
        <f aca="false">IFERROR((E11-E10)/E10,"")</f>
        <v>0.0149897684141802</v>
      </c>
      <c r="H11" s="37" t="n">
        <f aca="false">B11+E11</f>
        <v>52995877</v>
      </c>
    </row>
    <row r="12" customFormat="false" ht="15" hidden="false" customHeight="true" outlineLevel="0" collapsed="false">
      <c r="A12" s="44" t="s">
        <v>20</v>
      </c>
      <c r="B12" s="40" t="n">
        <f aca="false">'Department Trends'!H12</f>
        <v>13763426</v>
      </c>
      <c r="C12" s="50" t="n">
        <f aca="false">B12-B11</f>
        <v>429344</v>
      </c>
      <c r="D12" s="41" t="n">
        <f aca="false">IFERROR((B12-B11)/B11,"")</f>
        <v>0.0321989920265977</v>
      </c>
      <c r="E12" s="40" t="n">
        <f aca="false">'Department Trends'!I12</f>
        <v>39795370</v>
      </c>
      <c r="F12" s="50" t="n">
        <f aca="false">E12-E11</f>
        <v>133575</v>
      </c>
      <c r="G12" s="41" t="n">
        <f aca="false">IFERROR((E12-E11)/E11,"")</f>
        <v>0.0033678505977856</v>
      </c>
      <c r="H12" s="34" t="n">
        <f aca="false">B12+E12</f>
        <v>53558796</v>
      </c>
    </row>
    <row r="13" customFormat="false" ht="15" hidden="false" customHeight="true" outlineLevel="0" collapsed="false">
      <c r="A13" s="46" t="s">
        <v>21</v>
      </c>
      <c r="B13" s="48" t="n">
        <f aca="false">'Department Trends'!H13</f>
        <v>14389712</v>
      </c>
      <c r="C13" s="51" t="n">
        <f aca="false">B13-B12</f>
        <v>626286</v>
      </c>
      <c r="D13" s="47" t="n">
        <f aca="false">IFERROR((B13-B12)/B12,"")</f>
        <v>0.0455036413172127</v>
      </c>
      <c r="E13" s="48" t="n">
        <f aca="false">'Department Trends'!I13</f>
        <v>39705064</v>
      </c>
      <c r="F13" s="51" t="n">
        <f aca="false">E13-E12</f>
        <v>-90306</v>
      </c>
      <c r="G13" s="47" t="n">
        <f aca="false">IFERROR((E13-E12)/E12,"")</f>
        <v>-0.00226925896153246</v>
      </c>
      <c r="H13" s="37" t="n">
        <f aca="false">B13+E13</f>
        <v>54094776</v>
      </c>
    </row>
    <row r="14" customFormat="false" ht="15" hidden="false" customHeight="true" outlineLevel="0" collapsed="false">
      <c r="A14" s="44" t="s">
        <v>22</v>
      </c>
      <c r="B14" s="40" t="n">
        <f aca="false">'Department Trends'!H14</f>
        <v>14708083</v>
      </c>
      <c r="C14" s="50" t="n">
        <f aca="false">B14-B13</f>
        <v>318371</v>
      </c>
      <c r="D14" s="41" t="n">
        <f aca="false">IFERROR((B14-B13)/B13,"")</f>
        <v>0.0221249042371383</v>
      </c>
      <c r="E14" s="40" t="n">
        <f aca="false">'Department Trends'!I14</f>
        <v>40636405</v>
      </c>
      <c r="F14" s="50" t="n">
        <f aca="false">E14-E13</f>
        <v>931341</v>
      </c>
      <c r="G14" s="41" t="n">
        <f aca="false">IFERROR((E14-E13)/E13,"")</f>
        <v>0.0234564790022754</v>
      </c>
      <c r="H14" s="34" t="n">
        <f aca="false">B14+E14</f>
        <v>55344488</v>
      </c>
    </row>
    <row r="15" customFormat="false" ht="15" hidden="false" customHeight="true" outlineLevel="0" collapsed="false">
      <c r="A15" s="46" t="s">
        <v>23</v>
      </c>
      <c r="B15" s="48" t="n">
        <f aca="false">'Department Trends'!H15</f>
        <v>14821310</v>
      </c>
      <c r="C15" s="51" t="n">
        <f aca="false">B15-B14</f>
        <v>113227</v>
      </c>
      <c r="D15" s="47" t="n">
        <f aca="false">IFERROR((B15-B14)/B14,"")</f>
        <v>0.00769828399798941</v>
      </c>
      <c r="E15" s="48" t="n">
        <f aca="false">'Department Trends'!I15</f>
        <v>40549344</v>
      </c>
      <c r="F15" s="51" t="n">
        <f aca="false">E15-E14</f>
        <v>-87061</v>
      </c>
      <c r="G15" s="47" t="n">
        <f aca="false">IFERROR((E15-E14)/E14,"")</f>
        <v>-0.00214243853510171</v>
      </c>
      <c r="H15" s="37" t="n">
        <f aca="false">B15+E15</f>
        <v>55370654</v>
      </c>
    </row>
    <row r="16" customFormat="false" ht="15" hidden="false" customHeight="true" outlineLevel="0" collapsed="false">
      <c r="A16" s="44" t="s">
        <v>24</v>
      </c>
      <c r="B16" s="40" t="n">
        <f aca="false">'Department Trends'!H16</f>
        <v>15155865</v>
      </c>
      <c r="C16" s="50" t="n">
        <f aca="false">B16-B15</f>
        <v>334555</v>
      </c>
      <c r="D16" s="41" t="n">
        <f aca="false">IFERROR((B16-B15)/B15,"")</f>
        <v>0.0225725661226977</v>
      </c>
      <c r="E16" s="40" t="n">
        <f aca="false">'Department Trends'!I16</f>
        <v>41237122</v>
      </c>
      <c r="F16" s="50" t="n">
        <f aca="false">E16-E15</f>
        <v>687778</v>
      </c>
      <c r="G16" s="41" t="n">
        <f aca="false">IFERROR((E16-E15)/E15,"")</f>
        <v>0.0169615074414028</v>
      </c>
      <c r="H16" s="34" t="n">
        <f aca="false">B16+E16</f>
        <v>56392987</v>
      </c>
    </row>
    <row r="17" customFormat="false" ht="15" hidden="false" customHeight="true" outlineLevel="0" collapsed="false">
      <c r="A17" s="46" t="s">
        <v>25</v>
      </c>
      <c r="B17" s="48" t="n">
        <f aca="false">'Department Trends'!H17</f>
        <v>15155865</v>
      </c>
      <c r="C17" s="51" t="n">
        <f aca="false">B17-B16</f>
        <v>0</v>
      </c>
      <c r="D17" s="47" t="n">
        <f aca="false">IFERROR((B17-B16)/B16,"")</f>
        <v>0</v>
      </c>
      <c r="E17" s="48" t="n">
        <f aca="false">'Department Trends'!I17</f>
        <v>41316610</v>
      </c>
      <c r="F17" s="51" t="n">
        <f aca="false">E17-E16</f>
        <v>79488</v>
      </c>
      <c r="G17" s="47" t="n">
        <f aca="false">IFERROR((E17-E16)/E16,"")</f>
        <v>0.00192758359809882</v>
      </c>
      <c r="H17" s="37" t="n">
        <f aca="false">B17+E17</f>
        <v>56472475</v>
      </c>
    </row>
    <row r="18" customFormat="false" ht="15" hidden="false" customHeight="true" outlineLevel="0" collapsed="false">
      <c r="A18" s="44" t="s">
        <v>26</v>
      </c>
      <c r="B18" s="40" t="n">
        <f aca="false">'Department Trends'!H18</f>
        <v>15704962</v>
      </c>
      <c r="C18" s="50" t="n">
        <f aca="false">B18-B17</f>
        <v>549097</v>
      </c>
      <c r="D18" s="41" t="n">
        <f aca="false">IFERROR((B18-B17)/B17,"")</f>
        <v>0.0362300007290907</v>
      </c>
      <c r="E18" s="40" t="n">
        <f aca="false">'Department Trends'!I18</f>
        <v>41827055</v>
      </c>
      <c r="F18" s="50" t="n">
        <f aca="false">E18-E17</f>
        <v>510445</v>
      </c>
      <c r="G18" s="41" t="n">
        <f aca="false">IFERROR((E18-E17)/E17,"")</f>
        <v>0.0123544743869354</v>
      </c>
      <c r="H18" s="34" t="n">
        <f aca="false">B18+E18</f>
        <v>57532017</v>
      </c>
    </row>
    <row r="19" customFormat="false" ht="15" hidden="false" customHeight="true" outlineLevel="0" collapsed="false">
      <c r="A19" s="46" t="s">
        <v>27</v>
      </c>
      <c r="B19" s="48" t="n">
        <f aca="false">'Department Trends'!H19</f>
        <v>15622901</v>
      </c>
      <c r="C19" s="51" t="n">
        <f aca="false">B19-B18</f>
        <v>-82061</v>
      </c>
      <c r="D19" s="47" t="n">
        <f aca="false">IFERROR((B19-B18)/B18,"")</f>
        <v>-0.00522516386859134</v>
      </c>
      <c r="E19" s="48" t="n">
        <f aca="false">'Department Trends'!I19</f>
        <v>42025701</v>
      </c>
      <c r="F19" s="51" t="n">
        <f aca="false">E19-E18</f>
        <v>198646</v>
      </c>
      <c r="G19" s="47" t="n">
        <f aca="false">IFERROR((E19-E18)/E18,"")</f>
        <v>0.00474922272199178</v>
      </c>
      <c r="H19" s="37" t="n">
        <f aca="false">B19+E19</f>
        <v>57648602</v>
      </c>
    </row>
    <row r="20" customFormat="false" ht="15" hidden="false" customHeight="true" outlineLevel="0" collapsed="false">
      <c r="A20" s="44" t="s">
        <v>28</v>
      </c>
      <c r="B20" s="40" t="n">
        <f aca="false">'Department Trends'!H20</f>
        <v>15660140</v>
      </c>
      <c r="C20" s="50" t="n">
        <f aca="false">B20-B19</f>
        <v>37239</v>
      </c>
      <c r="D20" s="41" t="n">
        <f aca="false">IFERROR((B20-B19)/B19,"")</f>
        <v>0.00238361620546658</v>
      </c>
      <c r="E20" s="40" t="n">
        <f aca="false">'Department Trends'!I20</f>
        <v>43979351</v>
      </c>
      <c r="F20" s="50" t="n">
        <f aca="false">E20-E19</f>
        <v>1953650</v>
      </c>
      <c r="G20" s="41" t="n">
        <f aca="false">IFERROR((E20-E19)/E19,"")</f>
        <v>0.0464870294489555</v>
      </c>
      <c r="H20" s="34" t="n">
        <f aca="false">B20+E20</f>
        <v>59639491</v>
      </c>
    </row>
    <row r="21" customFormat="false" ht="15" hidden="false" customHeight="true" outlineLevel="0" collapsed="false">
      <c r="A21" s="46" t="s">
        <v>30</v>
      </c>
      <c r="B21" s="48" t="n">
        <f aca="false">'Department Trends'!H21</f>
        <v>17102056</v>
      </c>
      <c r="C21" s="51" t="n">
        <f aca="false">B21-B20</f>
        <v>1441916</v>
      </c>
      <c r="D21" s="47" t="n">
        <f aca="false">IFERROR((B21-B20)/B20,"")</f>
        <v>0.0920755497715857</v>
      </c>
      <c r="E21" s="48" t="n">
        <f aca="false">'Department Trends'!I21</f>
        <v>45576075</v>
      </c>
      <c r="F21" s="51" t="n">
        <f aca="false">E21-E20</f>
        <v>1596724</v>
      </c>
      <c r="G21" s="47" t="n">
        <f aca="false">IFERROR((E21-E20)/E20,"")</f>
        <v>0.0363062201622757</v>
      </c>
      <c r="H21" s="37" t="n">
        <f aca="false">B21+E21</f>
        <v>62678131</v>
      </c>
    </row>
    <row r="23" customFormat="false" ht="15" hidden="false" customHeight="true" outlineLevel="0" collapsed="false">
      <c r="A23" s="39" t="s">
        <v>87</v>
      </c>
    </row>
    <row r="24" customFormat="false" ht="15" hidden="false" customHeight="true" outlineLevel="0" collapsed="false">
      <c r="A24" s="42" t="s">
        <v>88</v>
      </c>
      <c r="B24" s="42" t="s">
        <v>89</v>
      </c>
      <c r="C24" s="42" t="s">
        <v>90</v>
      </c>
    </row>
    <row r="25" customFormat="false" ht="15" hidden="false" customHeight="true" outlineLevel="0" collapsed="false">
      <c r="A25" s="18" t="s">
        <v>91</v>
      </c>
      <c r="B25" s="40" t="n">
        <f aca="false">B4</f>
        <v>13636350</v>
      </c>
      <c r="C25" s="40" t="n">
        <f aca="false">E4</f>
        <v>33304385</v>
      </c>
    </row>
    <row r="26" customFormat="false" ht="15" hidden="false" customHeight="true" outlineLevel="0" collapsed="false">
      <c r="A26" s="52" t="s">
        <v>92</v>
      </c>
      <c r="B26" s="48" t="n">
        <f aca="false">B21</f>
        <v>17102056</v>
      </c>
      <c r="C26" s="48" t="n">
        <f aca="false">E21</f>
        <v>45576075</v>
      </c>
    </row>
    <row r="27" customFormat="false" ht="15" hidden="false" customHeight="true" outlineLevel="0" collapsed="false">
      <c r="A27" s="18" t="s">
        <v>77</v>
      </c>
      <c r="B27" s="40" t="n">
        <f aca="false">B21-B4</f>
        <v>3465706</v>
      </c>
      <c r="C27" s="40" t="n">
        <f aca="false">E21-E4</f>
        <v>12271690</v>
      </c>
    </row>
    <row r="28" customFormat="false" ht="15" hidden="false" customHeight="true" outlineLevel="0" collapsed="false">
      <c r="A28" s="52" t="s">
        <v>78</v>
      </c>
      <c r="B28" s="47" t="n">
        <f aca="false">(B21-B4)/B4</f>
        <v>0.254152027485361</v>
      </c>
      <c r="C28" s="47" t="n">
        <f aca="false">(E21-E4)/E4</f>
        <v>0.368470698378006</v>
      </c>
    </row>
    <row r="29" customFormat="false" ht="15" hidden="false" customHeight="true" outlineLevel="0" collapsed="false">
      <c r="A29" s="18" t="s">
        <v>73</v>
      </c>
      <c r="B29" s="41" t="n">
        <f aca="false">(B21/B4)^(1/17)-1</f>
        <v>0.0134102789020056</v>
      </c>
      <c r="C29" s="41" t="n">
        <f aca="false">(E21/E4)^(1/17)-1</f>
        <v>0.0186238795485096</v>
      </c>
    </row>
    <row r="30" customFormat="false" ht="15" hidden="false" customHeight="true" outlineLevel="0" collapsed="false">
      <c r="A30" s="52" t="s">
        <v>93</v>
      </c>
      <c r="B30" s="47" t="n">
        <f aca="false">AVERAGE(D5:D21)</f>
        <v>0.0139119146988551</v>
      </c>
      <c r="C30" s="47" t="n">
        <f aca="false">AVERAGE(G5:G21)</f>
        <v>0.0188808318350432</v>
      </c>
    </row>
    <row r="31" customFormat="false" ht="15" hidden="false" customHeight="true" outlineLevel="0" collapsed="false">
      <c r="A31" s="18" t="s">
        <v>94</v>
      </c>
      <c r="B31" s="41" t="n">
        <f aca="false">MAX(D5:D21)</f>
        <v>0.0920755497715857</v>
      </c>
      <c r="C31" s="41" t="n">
        <f aca="false">MAX(G5:G21)</f>
        <v>0.0814294105553761</v>
      </c>
    </row>
    <row r="32" customFormat="false" ht="15" hidden="false" customHeight="true" outlineLevel="0" collapsed="false">
      <c r="A32" s="52" t="s">
        <v>95</v>
      </c>
      <c r="B32" s="47" t="n">
        <f aca="false">MIN(D5:D21)</f>
        <v>-0.0674233500932075</v>
      </c>
      <c r="C32" s="47" t="n">
        <f aca="false">MIN(G5:G21)</f>
        <v>-0.0223593135170131</v>
      </c>
    </row>
    <row r="33" customFormat="false" ht="15" hidden="false" customHeight="true" outlineLevel="0" collapsed="false">
      <c r="A33" s="18" t="s">
        <v>96</v>
      </c>
      <c r="B33" s="41" t="n">
        <f aca="false">B4/H4</f>
        <v>0.29050141630718</v>
      </c>
      <c r="C33" s="41" t="n">
        <f aca="false">E4/H4</f>
        <v>0.70949858369282</v>
      </c>
    </row>
    <row r="34" customFormat="false" ht="15" hidden="false" customHeight="true" outlineLevel="0" collapsed="false">
      <c r="A34" s="52" t="s">
        <v>97</v>
      </c>
      <c r="B34" s="47" t="n">
        <f aca="false">B21/H21</f>
        <v>0.272855232393576</v>
      </c>
      <c r="C34" s="47" t="n">
        <f aca="false">E21/H21</f>
        <v>0.727144767606424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4" min="3" style="1" width="10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9" min="8" style="1" width="18"/>
    <col collapsed="false" customWidth="true" hidden="false" outlineLevel="0" max="10" min="10" style="1" width="12"/>
  </cols>
  <sheetData>
    <row r="1" customFormat="false" ht="26.25" hidden="false" customHeight="true" outlineLevel="0" collapsed="false">
      <c r="A1" s="53" t="s">
        <v>1</v>
      </c>
      <c r="B1" s="53" t="s">
        <v>2</v>
      </c>
      <c r="C1" s="53" t="s">
        <v>98</v>
      </c>
      <c r="D1" s="53" t="s">
        <v>99</v>
      </c>
      <c r="E1" s="53" t="s">
        <v>100</v>
      </c>
      <c r="F1" s="53" t="s">
        <v>101</v>
      </c>
      <c r="G1" s="53" t="s">
        <v>102</v>
      </c>
      <c r="H1" s="53" t="s">
        <v>103</v>
      </c>
      <c r="I1" s="53" t="s">
        <v>104</v>
      </c>
      <c r="J1" s="53" t="s">
        <v>105</v>
      </c>
    </row>
    <row r="2" customFormat="false" ht="15" hidden="false" customHeight="true" outlineLevel="0" collapsed="false">
      <c r="A2" s="54" t="s">
        <v>106</v>
      </c>
      <c r="B2" s="55" t="n">
        <v>46940735</v>
      </c>
      <c r="C2" s="56" t="n">
        <v>0.0285</v>
      </c>
      <c r="D2" s="57" t="n">
        <f aca="false">100</f>
        <v>100</v>
      </c>
      <c r="E2" s="58" t="n">
        <v>15495</v>
      </c>
      <c r="F2" s="57" t="n">
        <f aca="false">E2/E$2*100</f>
        <v>100</v>
      </c>
      <c r="G2" s="57" t="n">
        <f aca="false">B2/B$2*100</f>
        <v>100</v>
      </c>
      <c r="H2" s="59" t="n">
        <f aca="false">B2/E2</f>
        <v>3029.41174572443</v>
      </c>
      <c r="I2" s="59" t="n">
        <f aca="false">B2/E2/(D2/100)</f>
        <v>3029.41174572443</v>
      </c>
      <c r="J2" s="57" t="n">
        <f aca="false">I2/I$2*100</f>
        <v>100</v>
      </c>
    </row>
    <row r="3" customFormat="false" ht="15" hidden="false" customHeight="true" outlineLevel="0" collapsed="false">
      <c r="A3" s="54" t="s">
        <v>107</v>
      </c>
      <c r="B3" s="55" t="n">
        <v>47634370</v>
      </c>
      <c r="C3" s="56" t="n">
        <v>0.0384</v>
      </c>
      <c r="D3" s="57" t="n">
        <f aca="false">D2*(1+C3)</f>
        <v>103.84</v>
      </c>
      <c r="E3" s="58" t="n">
        <v>15578</v>
      </c>
      <c r="F3" s="57" t="n">
        <f aca="false">E3/E$2*100</f>
        <v>100.53565666344</v>
      </c>
      <c r="G3" s="57" t="n">
        <f aca="false">B3/B$2*100</f>
        <v>101.477682443617</v>
      </c>
      <c r="H3" s="59" t="n">
        <f aca="false">B3/E3</f>
        <v>3057.79753498524</v>
      </c>
      <c r="I3" s="59" t="n">
        <f aca="false">B3/E3/(D3/100)</f>
        <v>2944.72027637253</v>
      </c>
      <c r="J3" s="57" t="n">
        <f aca="false">I3/I$2*100</f>
        <v>97.2043592465954</v>
      </c>
    </row>
    <row r="4" customFormat="false" ht="15" hidden="false" customHeight="true" outlineLevel="0" collapsed="false">
      <c r="A4" s="54" t="s">
        <v>108</v>
      </c>
      <c r="B4" s="55" t="n">
        <v>48172704</v>
      </c>
      <c r="C4" s="56" t="n">
        <v>-0.0036</v>
      </c>
      <c r="D4" s="57" t="n">
        <f aca="false">D3*(1+C4)</f>
        <v>103.466176</v>
      </c>
      <c r="E4" s="58" t="n">
        <v>15838</v>
      </c>
      <c r="F4" s="57" t="n">
        <f aca="false">E4/E$2*100</f>
        <v>102.213617295902</v>
      </c>
      <c r="G4" s="57" t="n">
        <f aca="false">B4/B$2*100</f>
        <v>102.624520046395</v>
      </c>
      <c r="H4" s="59" t="n">
        <f aca="false">B4/E4</f>
        <v>3041.59009976007</v>
      </c>
      <c r="I4" s="59" t="n">
        <f aca="false">B4/E4/(D4/100)</f>
        <v>2939.69509394072</v>
      </c>
      <c r="J4" s="57" t="n">
        <f aca="false">I4/I$2*100</f>
        <v>97.0384794371274</v>
      </c>
    </row>
    <row r="5" customFormat="false" ht="15" hidden="false" customHeight="true" outlineLevel="0" collapsed="false">
      <c r="A5" s="54" t="s">
        <v>109</v>
      </c>
      <c r="B5" s="55" t="n">
        <v>47618651</v>
      </c>
      <c r="C5" s="56" t="n">
        <v>0.0164</v>
      </c>
      <c r="D5" s="57" t="n">
        <f aca="false">D4*(1+C5)</f>
        <v>105.1630212864</v>
      </c>
      <c r="E5" s="58" t="n">
        <v>16068</v>
      </c>
      <c r="F5" s="57" t="n">
        <f aca="false">E5/E$2*100</f>
        <v>103.697967086157</v>
      </c>
      <c r="G5" s="57" t="n">
        <f aca="false">B5/B$2*100</f>
        <v>101.444195537202</v>
      </c>
      <c r="H5" s="59" t="n">
        <f aca="false">B5/E5</f>
        <v>2963.57051282051</v>
      </c>
      <c r="I5" s="59" t="n">
        <f aca="false">B5/E5/(D5/100)</f>
        <v>2818.07281358868</v>
      </c>
      <c r="J5" s="57" t="n">
        <f aca="false">I5/I$2*100</f>
        <v>93.0237633615165</v>
      </c>
    </row>
    <row r="6" customFormat="false" ht="15" hidden="false" customHeight="true" outlineLevel="0" collapsed="false">
      <c r="A6" s="54" t="s">
        <v>110</v>
      </c>
      <c r="B6" s="55" t="n">
        <v>50501287</v>
      </c>
      <c r="C6" s="56" t="n">
        <v>0.0316</v>
      </c>
      <c r="D6" s="57" t="n">
        <f aca="false">D5*(1+C6)</f>
        <v>108.48617275905</v>
      </c>
      <c r="E6" s="58" t="n">
        <v>16087</v>
      </c>
      <c r="F6" s="57" t="n">
        <f aca="false">E6/E$2*100</f>
        <v>103.820587286221</v>
      </c>
      <c r="G6" s="57" t="n">
        <f aca="false">B6/B$2*100</f>
        <v>107.585207176666</v>
      </c>
      <c r="H6" s="59" t="n">
        <f aca="false">B6/E6</f>
        <v>3139.26070740349</v>
      </c>
      <c r="I6" s="59" t="n">
        <f aca="false">B6/E6/(D6/100)</f>
        <v>2893.69661364665</v>
      </c>
      <c r="J6" s="57" t="n">
        <f aca="false">I6/I$2*100</f>
        <v>95.520082990722</v>
      </c>
    </row>
    <row r="7" customFormat="false" ht="15" hidden="false" customHeight="true" outlineLevel="0" collapsed="false">
      <c r="A7" s="54" t="s">
        <v>111</v>
      </c>
      <c r="B7" s="55" t="n">
        <v>50281526</v>
      </c>
      <c r="C7" s="56" t="n">
        <v>0.0207</v>
      </c>
      <c r="D7" s="57" t="n">
        <f aca="false">D6*(1+C7)</f>
        <v>110.731836535163</v>
      </c>
      <c r="E7" s="58" t="n">
        <v>16087</v>
      </c>
      <c r="F7" s="57" t="n">
        <f aca="false">E7/E$2*100</f>
        <v>103.820587286221</v>
      </c>
      <c r="G7" s="57" t="n">
        <f aca="false">B7/B$2*100</f>
        <v>107.11704024234</v>
      </c>
      <c r="H7" s="59" t="n">
        <f aca="false">B7/E7</f>
        <v>3125.59992540561</v>
      </c>
      <c r="I7" s="59" t="n">
        <f aca="false">B7/E7/(D7/100)</f>
        <v>2822.67505281833</v>
      </c>
      <c r="J7" s="57" t="n">
        <f aca="false">I7/I$2*100</f>
        <v>93.1756819389812</v>
      </c>
    </row>
    <row r="8" customFormat="false" ht="15" hidden="false" customHeight="true" outlineLevel="0" collapsed="false">
      <c r="A8" s="54" t="s">
        <v>112</v>
      </c>
      <c r="B8" s="55" t="n">
        <v>52225904</v>
      </c>
      <c r="C8" s="56" t="n">
        <v>0.0146</v>
      </c>
      <c r="D8" s="57" t="n">
        <f aca="false">D7*(1+C8)</f>
        <v>112.348521348576</v>
      </c>
      <c r="E8" s="58" t="n">
        <v>16050</v>
      </c>
      <c r="F8" s="57" t="n">
        <f aca="false">E8/E$2*100</f>
        <v>103.581800580833</v>
      </c>
      <c r="G8" s="57" t="n">
        <f aca="false">B8/B$2*100</f>
        <v>111.259237845338</v>
      </c>
      <c r="H8" s="59" t="n">
        <f aca="false">B8/E8</f>
        <v>3253.95040498442</v>
      </c>
      <c r="I8" s="59" t="n">
        <f aca="false">B8/E8/(D8/100)</f>
        <v>2896.30016125323</v>
      </c>
      <c r="J8" s="57" t="n">
        <f aca="false">I8/I$2*100</f>
        <v>95.6060253394387</v>
      </c>
    </row>
    <row r="9" customFormat="false" ht="15" hidden="false" customHeight="true" outlineLevel="0" collapsed="false">
      <c r="A9" s="54" t="s">
        <v>113</v>
      </c>
      <c r="B9" s="55" t="n">
        <v>52995877</v>
      </c>
      <c r="C9" s="56" t="n">
        <v>0.0162</v>
      </c>
      <c r="D9" s="57" t="n">
        <f aca="false">D8*(1+C9)</f>
        <v>114.168567394423</v>
      </c>
      <c r="E9" s="58" t="n">
        <v>16000</v>
      </c>
      <c r="F9" s="57" t="n">
        <f aca="false">E9/E$2*100</f>
        <v>103.259115843821</v>
      </c>
      <c r="G9" s="57" t="n">
        <f aca="false">B9/B$2*100</f>
        <v>112.899546630448</v>
      </c>
      <c r="H9" s="59" t="n">
        <f aca="false">B9/E9</f>
        <v>3312.2423125</v>
      </c>
      <c r="I9" s="59" t="n">
        <f aca="false">B9/E9/(D9/100)</f>
        <v>2901.18584133324</v>
      </c>
      <c r="J9" s="57" t="n">
        <f aca="false">I9/I$2*100</f>
        <v>95.7673002168769</v>
      </c>
    </row>
    <row r="10" customFormat="false" ht="15" hidden="false" customHeight="true" outlineLevel="0" collapsed="false">
      <c r="A10" s="54" t="s">
        <v>114</v>
      </c>
      <c r="B10" s="55" t="n">
        <v>53558796</v>
      </c>
      <c r="C10" s="56" t="n">
        <v>0.0012</v>
      </c>
      <c r="D10" s="57" t="n">
        <f aca="false">D9*(1+C10)</f>
        <v>114.305569675296</v>
      </c>
      <c r="E10" s="58" t="n">
        <v>15950</v>
      </c>
      <c r="F10" s="57" t="n">
        <f aca="false">E10/E$2*100</f>
        <v>102.936431106809</v>
      </c>
      <c r="G10" s="57" t="n">
        <f aca="false">B10/B$2*100</f>
        <v>114.098758785946</v>
      </c>
      <c r="H10" s="59" t="n">
        <f aca="false">B10/E10</f>
        <v>3357.91824451411</v>
      </c>
      <c r="I10" s="59" t="n">
        <f aca="false">B10/E10/(D10/100)</f>
        <v>2937.66808918658</v>
      </c>
      <c r="J10" s="57" t="n">
        <f aca="false">I10/I$2*100</f>
        <v>96.9715686001636</v>
      </c>
    </row>
    <row r="11" customFormat="false" ht="15" hidden="false" customHeight="true" outlineLevel="0" collapsed="false">
      <c r="A11" s="54" t="s">
        <v>115</v>
      </c>
      <c r="B11" s="55" t="n">
        <v>54094776</v>
      </c>
      <c r="C11" s="56" t="n">
        <v>0.0126</v>
      </c>
      <c r="D11" s="57" t="n">
        <f aca="false">D10*(1+C11)</f>
        <v>115.745819853205</v>
      </c>
      <c r="E11" s="58" t="n">
        <v>15900</v>
      </c>
      <c r="F11" s="57" t="n">
        <f aca="false">E11/E$2*100</f>
        <v>102.613746369797</v>
      </c>
      <c r="G11" s="57" t="n">
        <f aca="false">B11/B$2*100</f>
        <v>115.240581554592</v>
      </c>
      <c r="H11" s="59" t="n">
        <f aca="false">B11/E11</f>
        <v>3402.18716981132</v>
      </c>
      <c r="I11" s="59" t="n">
        <f aca="false">B11/E11/(D11/100)</f>
        <v>2939.36072518745</v>
      </c>
      <c r="J11" s="57" t="n">
        <f aca="false">I11/I$2*100</f>
        <v>97.0274420219017</v>
      </c>
    </row>
    <row r="12" customFormat="false" ht="15" hidden="false" customHeight="true" outlineLevel="0" collapsed="false">
      <c r="A12" s="54" t="s">
        <v>116</v>
      </c>
      <c r="B12" s="55" t="n">
        <v>55344488</v>
      </c>
      <c r="C12" s="56" t="n">
        <v>0.0213</v>
      </c>
      <c r="D12" s="57" t="n">
        <f aca="false">D11*(1+C12)</f>
        <v>118.211205816078</v>
      </c>
      <c r="E12" s="58" t="n">
        <v>15850</v>
      </c>
      <c r="F12" s="57" t="n">
        <f aca="false">E12/E$2*100</f>
        <v>102.291061632785</v>
      </c>
      <c r="G12" s="57" t="n">
        <f aca="false">B12/B$2*100</f>
        <v>117.902900327402</v>
      </c>
      <c r="H12" s="59" t="n">
        <f aca="false">B12/E12</f>
        <v>3491.7658044164</v>
      </c>
      <c r="I12" s="59" t="n">
        <f aca="false">B12/E12/(D12/100)</f>
        <v>2953.83655069821</v>
      </c>
      <c r="J12" s="57" t="n">
        <f aca="false">I12/I$2*100</f>
        <v>97.505284808746</v>
      </c>
    </row>
    <row r="13" customFormat="false" ht="15" hidden="false" customHeight="true" outlineLevel="0" collapsed="false">
      <c r="A13" s="54" t="s">
        <v>117</v>
      </c>
      <c r="B13" s="55" t="n">
        <v>55370654</v>
      </c>
      <c r="C13" s="56" t="n">
        <v>0.0244</v>
      </c>
      <c r="D13" s="57" t="n">
        <f aca="false">D12*(1+C13)</f>
        <v>121.095559237991</v>
      </c>
      <c r="E13" s="58" t="n">
        <v>15800</v>
      </c>
      <c r="F13" s="57" t="n">
        <f aca="false">E13/E$2*100</f>
        <v>101.968376895773</v>
      </c>
      <c r="G13" s="57" t="n">
        <f aca="false">B13/B$2*100</f>
        <v>117.958642956912</v>
      </c>
      <c r="H13" s="59" t="n">
        <f aca="false">B13/E13</f>
        <v>3504.4717721519</v>
      </c>
      <c r="I13" s="59" t="n">
        <f aca="false">B13/E13/(D13/100)</f>
        <v>2893.97216066736</v>
      </c>
      <c r="J13" s="57" t="n">
        <f aca="false">I13/I$2*100</f>
        <v>95.5291787176762</v>
      </c>
    </row>
    <row r="14" customFormat="false" ht="15" hidden="false" customHeight="true" outlineLevel="0" collapsed="false">
      <c r="A14" s="54" t="s">
        <v>118</v>
      </c>
      <c r="B14" s="55" t="n">
        <v>56392987</v>
      </c>
      <c r="C14" s="56" t="n">
        <v>0.0181</v>
      </c>
      <c r="D14" s="57" t="n">
        <f aca="false">D13*(1+C14)</f>
        <v>123.287388860198</v>
      </c>
      <c r="E14" s="58" t="n">
        <v>15861</v>
      </c>
      <c r="F14" s="57" t="n">
        <f aca="false">E14/E$2*100</f>
        <v>102.362052274927</v>
      </c>
      <c r="G14" s="57" t="n">
        <f aca="false">B14/B$2*100</f>
        <v>120.13656582071</v>
      </c>
      <c r="H14" s="59" t="n">
        <f aca="false">B14/E14</f>
        <v>3555.44965638989</v>
      </c>
      <c r="I14" s="59" t="n">
        <f aca="false">B14/E14/(D14/100)</f>
        <v>2883.87132638651</v>
      </c>
      <c r="J14" s="57" t="n">
        <f aca="false">I14/I$2*100</f>
        <v>95.1957531179666</v>
      </c>
    </row>
    <row r="15" customFormat="false" ht="15" hidden="false" customHeight="true" outlineLevel="0" collapsed="false">
      <c r="A15" s="54" t="s">
        <v>119</v>
      </c>
      <c r="B15" s="55" t="n">
        <v>56472475</v>
      </c>
      <c r="C15" s="56" t="n">
        <v>0.0123</v>
      </c>
      <c r="D15" s="57" t="n">
        <f aca="false">D14*(1+C15)</f>
        <v>124.803823743179</v>
      </c>
      <c r="E15" s="58" t="n">
        <v>15555</v>
      </c>
      <c r="F15" s="57" t="n">
        <f aca="false">E15/E$2*100</f>
        <v>100.387221684414</v>
      </c>
      <c r="G15" s="57" t="n">
        <f aca="false">B15/B$2*100</f>
        <v>120.305902751629</v>
      </c>
      <c r="H15" s="59" t="n">
        <f aca="false">B15/E15</f>
        <v>3630.50305368049</v>
      </c>
      <c r="I15" s="59" t="n">
        <f aca="false">B15/E15/(D15/100)</f>
        <v>2908.96780626797</v>
      </c>
      <c r="J15" s="57" t="n">
        <f aca="false">I15/I$2*100</f>
        <v>96.0241806143901</v>
      </c>
    </row>
    <row r="16" customFormat="false" ht="15" hidden="false" customHeight="true" outlineLevel="0" collapsed="false">
      <c r="A16" s="54" t="s">
        <v>120</v>
      </c>
      <c r="B16" s="55" t="n">
        <v>57532017</v>
      </c>
      <c r="C16" s="56" t="n">
        <v>0.047</v>
      </c>
      <c r="D16" s="57" t="n">
        <f aca="false">D15*(1+C16)</f>
        <v>130.669603459108</v>
      </c>
      <c r="E16" s="58" t="n">
        <v>15501</v>
      </c>
      <c r="F16" s="57" t="n">
        <f aca="false">E16/E$2*100</f>
        <v>100.038722168441</v>
      </c>
      <c r="G16" s="57" t="n">
        <f aca="false">B16/B$2*100</f>
        <v>122.563093654158</v>
      </c>
      <c r="H16" s="59" t="n">
        <f aca="false">B16/E16</f>
        <v>3711.50358041417</v>
      </c>
      <c r="I16" s="59" t="n">
        <f aca="false">B16/E16/(D16/100)</f>
        <v>2840.37257492379</v>
      </c>
      <c r="J16" s="57" t="n">
        <f aca="false">I16/I$2*100</f>
        <v>93.7598719927246</v>
      </c>
    </row>
    <row r="17" customFormat="false" ht="15" hidden="false" customHeight="true" outlineLevel="0" collapsed="false">
      <c r="A17" s="54" t="s">
        <v>121</v>
      </c>
      <c r="B17" s="55" t="n">
        <v>57648602</v>
      </c>
      <c r="C17" s="56" t="n">
        <v>0.08</v>
      </c>
      <c r="D17" s="57" t="n">
        <f aca="false">D16*(1+C17)</f>
        <v>141.123171735837</v>
      </c>
      <c r="E17" s="58" t="n">
        <v>15600</v>
      </c>
      <c r="F17" s="57" t="n">
        <f aca="false">E17/E$2*100</f>
        <v>100.677637947725</v>
      </c>
      <c r="G17" s="57" t="n">
        <f aca="false">B17/B$2*100</f>
        <v>122.811460025072</v>
      </c>
      <c r="H17" s="59" t="n">
        <f aca="false">B17/E17</f>
        <v>3695.42320512821</v>
      </c>
      <c r="I17" s="59" t="n">
        <f aca="false">B17/E17/(D17/100)</f>
        <v>2618.58003875192</v>
      </c>
      <c r="J17" s="57" t="n">
        <f aca="false">I17/I$2*100</f>
        <v>86.4385649275857</v>
      </c>
    </row>
    <row r="18" customFormat="false" ht="15" hidden="false" customHeight="true" outlineLevel="0" collapsed="false">
      <c r="A18" s="54" t="s">
        <v>122</v>
      </c>
      <c r="B18" s="55" t="n">
        <v>59639491</v>
      </c>
      <c r="C18" s="56" t="n">
        <v>0.0412</v>
      </c>
      <c r="D18" s="57" t="n">
        <f aca="false">D17*(1+C18)</f>
        <v>146.937446411353</v>
      </c>
      <c r="E18" s="58" t="n">
        <v>15690</v>
      </c>
      <c r="F18" s="57" t="n">
        <f aca="false">E18/E$2*100</f>
        <v>101.258470474347</v>
      </c>
      <c r="G18" s="57" t="n">
        <f aca="false">B18/B$2*100</f>
        <v>127.052742143897</v>
      </c>
      <c r="H18" s="59" t="n">
        <f aca="false">B18/E18</f>
        <v>3801.11478648821</v>
      </c>
      <c r="I18" s="59" t="n">
        <f aca="false">B18/E18/(D18/100)</f>
        <v>2586.8931843602</v>
      </c>
      <c r="J18" s="57" t="n">
        <f aca="false">I18/I$2*100</f>
        <v>85.3925910867421</v>
      </c>
    </row>
    <row r="19" customFormat="false" ht="15" hidden="false" customHeight="true" outlineLevel="0" collapsed="false">
      <c r="A19" s="54" t="s">
        <v>123</v>
      </c>
      <c r="B19" s="55" t="n">
        <v>62678131</v>
      </c>
      <c r="C19" s="56" t="n">
        <v>0.0294</v>
      </c>
      <c r="D19" s="57" t="n">
        <f aca="false">D18*(1+C19)</f>
        <v>151.257407335847</v>
      </c>
      <c r="E19" s="58" t="n">
        <v>15752</v>
      </c>
      <c r="F19" s="57" t="n">
        <f aca="false">E19/E$2*100</f>
        <v>101.658599548241</v>
      </c>
      <c r="G19" s="57" t="n">
        <f aca="false">B19/B$2*100</f>
        <v>133.526096257334</v>
      </c>
      <c r="H19" s="59" t="n">
        <f aca="false">B19/E19</f>
        <v>3979.05859573388</v>
      </c>
      <c r="I19" s="59" t="n">
        <f aca="false">B19/E19/(D19/100)</f>
        <v>2630.65370868014</v>
      </c>
      <c r="J19" s="57" t="n">
        <f aca="false">I19/I$2*100</f>
        <v>86.8371132578105</v>
      </c>
    </row>
    <row r="21" customFormat="false" ht="15" hidden="false" customHeight="true" outlineLevel="0" collapsed="false">
      <c r="A21" s="60" t="s">
        <v>124</v>
      </c>
      <c r="B21" s="60"/>
      <c r="C21" s="60"/>
      <c r="D21" s="60"/>
      <c r="E21" s="60"/>
    </row>
    <row r="22" customFormat="false" ht="15" hidden="false" customHeight="true" outlineLevel="0" collapsed="false">
      <c r="A22" s="61" t="s">
        <v>125</v>
      </c>
      <c r="B22" s="62" t="n">
        <f aca="false">G19/G2-1</f>
        <v>0.335260962573339</v>
      </c>
    </row>
    <row r="23" customFormat="false" ht="15" hidden="false" customHeight="true" outlineLevel="0" collapsed="false">
      <c r="A23" s="61" t="s">
        <v>126</v>
      </c>
      <c r="B23" s="62" t="n">
        <f aca="false">D19/D2-1</f>
        <v>0.512574073358469</v>
      </c>
    </row>
    <row r="24" customFormat="false" ht="15" hidden="false" customHeight="true" outlineLevel="0" collapsed="false">
      <c r="A24" s="61" t="s">
        <v>127</v>
      </c>
      <c r="B24" s="63" t="n">
        <f aca="false">(G19-D19)</f>
        <v>-17.731311078513</v>
      </c>
    </row>
    <row r="25" customFormat="false" ht="15" hidden="false" customHeight="true" outlineLevel="0" collapsed="false">
      <c r="A25" s="61" t="s">
        <v>128</v>
      </c>
      <c r="B25" s="62" t="n">
        <f aca="false">F19/F2-1</f>
        <v>0.0165859954824137</v>
      </c>
    </row>
    <row r="26" customFormat="false" ht="15" hidden="false" customHeight="true" outlineLevel="0" collapsed="false">
      <c r="A26" s="61" t="s">
        <v>129</v>
      </c>
      <c r="B26" s="62" t="n">
        <f aca="false">J19/J2-1</f>
        <v>-0.131628867421895</v>
      </c>
    </row>
    <row r="27" customFormat="false" ht="15" hidden="false" customHeight="true" outlineLevel="0" collapsed="false">
      <c r="A27" s="61" t="s">
        <v>130</v>
      </c>
      <c r="B27" s="62" t="n">
        <f aca="false">(B19/B2)^(1/17)-1</f>
        <v>0.017152906089235</v>
      </c>
    </row>
    <row r="28" customFormat="false" ht="15" hidden="false" customHeight="true" outlineLevel="0" collapsed="false">
      <c r="A28" s="61" t="s">
        <v>131</v>
      </c>
      <c r="B28" s="62" t="n">
        <f aca="false">AVERAGE(C2:C19)</f>
        <v>0.0250166666666667</v>
      </c>
    </row>
  </sheetData>
  <mergeCells count="1"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20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16"/>
  </cols>
  <sheetData>
    <row r="1" customFormat="false" ht="15" hidden="false" customHeight="true" outlineLevel="0" collapsed="false">
      <c r="A1" s="64" t="s">
        <v>132</v>
      </c>
      <c r="B1" s="64"/>
      <c r="C1" s="64"/>
      <c r="D1" s="64"/>
      <c r="E1" s="64"/>
      <c r="F1" s="64"/>
    </row>
    <row r="2" customFormat="false" ht="15" hidden="false" customHeight="true" outlineLevel="0" collapsed="false">
      <c r="A2" s="65" t="s">
        <v>133</v>
      </c>
      <c r="B2" s="65"/>
      <c r="C2" s="65"/>
      <c r="D2" s="65"/>
      <c r="E2" s="65"/>
      <c r="F2" s="65"/>
    </row>
    <row r="3" customFormat="false" ht="26.25" hidden="false" customHeight="true" outlineLevel="0" collapsed="false">
      <c r="A3" s="66" t="s">
        <v>89</v>
      </c>
      <c r="B3" s="66" t="s">
        <v>134</v>
      </c>
      <c r="C3" s="66" t="s">
        <v>135</v>
      </c>
      <c r="D3" s="66" t="s">
        <v>136</v>
      </c>
      <c r="E3" s="66" t="s">
        <v>137</v>
      </c>
      <c r="F3" s="66" t="s">
        <v>138</v>
      </c>
    </row>
    <row r="4" customFormat="false" ht="15" hidden="false" customHeight="true" outlineLevel="0" collapsed="false">
      <c r="A4" s="67" t="s">
        <v>139</v>
      </c>
      <c r="B4" s="68" t="n">
        <v>28.67</v>
      </c>
      <c r="C4" s="69" t="n">
        <v>15752</v>
      </c>
      <c r="D4" s="70" t="n">
        <v>62678131</v>
      </c>
      <c r="E4" s="71" t="n">
        <f aca="false">D4/C4</f>
        <v>3979.05859573388</v>
      </c>
      <c r="F4" s="72" t="s">
        <v>140</v>
      </c>
    </row>
    <row r="5" customFormat="false" ht="15" hidden="false" customHeight="true" outlineLevel="0" collapsed="false">
      <c r="A5" s="73" t="s">
        <v>141</v>
      </c>
      <c r="B5" s="74" t="n">
        <v>38.04</v>
      </c>
      <c r="C5" s="75" t="n">
        <v>13109</v>
      </c>
      <c r="D5" s="76" t="n">
        <v>56700000</v>
      </c>
      <c r="E5" s="77" t="n">
        <f aca="false">D5/C5</f>
        <v>4325.27271340301</v>
      </c>
      <c r="F5" s="78" t="s">
        <v>142</v>
      </c>
    </row>
    <row r="6" customFormat="false" ht="15" hidden="false" customHeight="true" outlineLevel="0" collapsed="false">
      <c r="A6" s="73" t="s">
        <v>143</v>
      </c>
      <c r="B6" s="74" t="n">
        <v>34.5</v>
      </c>
      <c r="C6" s="75" t="n">
        <v>9254</v>
      </c>
      <c r="D6" s="76" t="n">
        <v>41383994</v>
      </c>
      <c r="E6" s="77" t="n">
        <f aca="false">D6/C6</f>
        <v>4472.01145450616</v>
      </c>
      <c r="F6" s="78" t="s">
        <v>144</v>
      </c>
    </row>
    <row r="7" customFormat="false" ht="15" hidden="false" customHeight="true" outlineLevel="0" collapsed="false">
      <c r="A7" s="73" t="s">
        <v>145</v>
      </c>
      <c r="B7" s="74" t="n">
        <v>30.2</v>
      </c>
      <c r="C7" s="75" t="n">
        <v>4326</v>
      </c>
      <c r="D7" s="76" t="n">
        <v>18542564</v>
      </c>
      <c r="E7" s="77" t="n">
        <f aca="false">D7/C7</f>
        <v>4286.30698104485</v>
      </c>
      <c r="F7" s="78" t="s">
        <v>146</v>
      </c>
    </row>
    <row r="8" customFormat="false" ht="15" hidden="false" customHeight="true" outlineLevel="0" collapsed="false">
      <c r="A8" s="73" t="s">
        <v>147</v>
      </c>
      <c r="B8" s="74" t="n">
        <v>36.29</v>
      </c>
      <c r="C8" s="75" t="n">
        <v>6192</v>
      </c>
      <c r="D8" s="79" t="s">
        <v>29</v>
      </c>
      <c r="E8" s="79" t="s">
        <v>29</v>
      </c>
      <c r="F8" s="78" t="s">
        <v>148</v>
      </c>
    </row>
    <row r="9" customFormat="false" ht="15" hidden="false" customHeight="true" outlineLevel="0" collapsed="false">
      <c r="A9" s="73" t="s">
        <v>149</v>
      </c>
      <c r="B9" s="74" t="n">
        <v>26.76</v>
      </c>
      <c r="C9" s="75" t="n">
        <v>9061</v>
      </c>
      <c r="D9" s="79" t="s">
        <v>29</v>
      </c>
      <c r="E9" s="79" t="s">
        <v>29</v>
      </c>
      <c r="F9" s="80" t="s">
        <v>150</v>
      </c>
    </row>
    <row r="10" customFormat="false" ht="15" hidden="false" customHeight="true" outlineLevel="0" collapsed="false">
      <c r="A10" s="73" t="s">
        <v>151</v>
      </c>
      <c r="B10" s="74" t="n">
        <v>21</v>
      </c>
      <c r="C10" s="75" t="n">
        <v>7141</v>
      </c>
      <c r="D10" s="76" t="n">
        <v>29533313</v>
      </c>
      <c r="E10" s="77" t="n">
        <f aca="false">D10/C10</f>
        <v>4135.73911216916</v>
      </c>
      <c r="F10" s="80" t="s">
        <v>152</v>
      </c>
    </row>
    <row r="11" customFormat="false" ht="15" hidden="false" customHeight="true" outlineLevel="0" collapsed="false">
      <c r="A11" s="81" t="s">
        <v>153</v>
      </c>
      <c r="B11" s="82" t="n">
        <f aca="false">AVERAGE(B5:B6,B7:B10)</f>
        <v>31.1316666666667</v>
      </c>
    </row>
    <row r="14" customFormat="false" ht="15" hidden="false" customHeight="true" outlineLevel="0" collapsed="false">
      <c r="A14" s="64" t="s">
        <v>154</v>
      </c>
      <c r="B14" s="64"/>
      <c r="C14" s="64"/>
      <c r="D14" s="64"/>
      <c r="E14" s="64"/>
      <c r="F14" s="64"/>
    </row>
    <row r="15" customFormat="false" ht="26.25" hidden="false" customHeight="true" outlineLevel="0" collapsed="false">
      <c r="A15" s="66" t="s">
        <v>1</v>
      </c>
      <c r="B15" s="66" t="s">
        <v>155</v>
      </c>
      <c r="C15" s="66" t="s">
        <v>156</v>
      </c>
      <c r="D15" s="66" t="s">
        <v>157</v>
      </c>
    </row>
    <row r="16" customFormat="false" ht="15" hidden="false" customHeight="true" outlineLevel="0" collapsed="false">
      <c r="A16" s="83" t="s">
        <v>106</v>
      </c>
      <c r="B16" s="74" t="n">
        <v>23.01</v>
      </c>
      <c r="C16" s="74" t="n">
        <v>27.78</v>
      </c>
      <c r="D16" s="84" t="s">
        <v>158</v>
      </c>
    </row>
    <row r="17" customFormat="false" ht="15" hidden="false" customHeight="true" outlineLevel="0" collapsed="false">
      <c r="A17" s="83" t="s">
        <v>107</v>
      </c>
      <c r="B17" s="74" t="n">
        <v>23.01</v>
      </c>
      <c r="C17" s="74" t="n">
        <v>20.55</v>
      </c>
      <c r="D17" s="84" t="s">
        <v>159</v>
      </c>
    </row>
    <row r="18" customFormat="false" ht="15" hidden="false" customHeight="true" outlineLevel="0" collapsed="false">
      <c r="A18" s="83" t="s">
        <v>108</v>
      </c>
      <c r="B18" s="74" t="n">
        <v>23.65</v>
      </c>
      <c r="C18" s="74" t="n">
        <v>20.55</v>
      </c>
      <c r="D18" s="84" t="s">
        <v>159</v>
      </c>
    </row>
    <row r="19" customFormat="false" ht="15" hidden="false" customHeight="true" outlineLevel="0" collapsed="false">
      <c r="A19" s="83" t="s">
        <v>109</v>
      </c>
      <c r="B19" s="74" t="n">
        <v>25.07</v>
      </c>
      <c r="C19" s="74" t="n">
        <v>20.87</v>
      </c>
      <c r="D19" s="84" t="s">
        <v>159</v>
      </c>
    </row>
    <row r="20" customFormat="false" ht="15" hidden="false" customHeight="true" outlineLevel="0" collapsed="false">
      <c r="A20" s="83" t="s">
        <v>110</v>
      </c>
      <c r="B20" s="74" t="n">
        <v>25.85</v>
      </c>
      <c r="C20" s="74" t="n">
        <v>21.1</v>
      </c>
      <c r="D20" s="84" t="s">
        <v>159</v>
      </c>
    </row>
    <row r="21" customFormat="false" ht="15" hidden="false" customHeight="true" outlineLevel="0" collapsed="false">
      <c r="A21" s="83" t="s">
        <v>111</v>
      </c>
      <c r="B21" s="74" t="n">
        <v>28.8</v>
      </c>
      <c r="C21" s="74" t="n">
        <v>21.52</v>
      </c>
      <c r="D21" s="84" t="s">
        <v>159</v>
      </c>
    </row>
    <row r="22" customFormat="false" ht="15" hidden="false" customHeight="true" outlineLevel="0" collapsed="false">
      <c r="A22" s="83" t="s">
        <v>112</v>
      </c>
      <c r="B22" s="74" t="n">
        <v>30.28</v>
      </c>
      <c r="C22" s="74" t="n">
        <v>26.01</v>
      </c>
      <c r="D22" s="84" t="s">
        <v>159</v>
      </c>
    </row>
    <row r="23" customFormat="false" ht="15" hidden="false" customHeight="true" outlineLevel="0" collapsed="false">
      <c r="A23" s="83" t="s">
        <v>113</v>
      </c>
      <c r="B23" s="74" t="n">
        <v>30.57</v>
      </c>
      <c r="C23" s="74" t="n">
        <v>27.9</v>
      </c>
      <c r="D23" s="84" t="s">
        <v>159</v>
      </c>
    </row>
    <row r="24" customFormat="false" ht="15" hidden="false" customHeight="true" outlineLevel="0" collapsed="false">
      <c r="A24" s="83" t="s">
        <v>114</v>
      </c>
      <c r="B24" s="74" t="n">
        <v>30.76</v>
      </c>
      <c r="C24" s="74" t="n">
        <v>28.68</v>
      </c>
      <c r="D24" s="84" t="s">
        <v>159</v>
      </c>
    </row>
    <row r="25" customFormat="false" ht="15" hidden="false" customHeight="true" outlineLevel="0" collapsed="false">
      <c r="A25" s="83" t="s">
        <v>115</v>
      </c>
      <c r="B25" s="74" t="n">
        <v>30.91</v>
      </c>
      <c r="C25" s="74" t="n">
        <v>29.35</v>
      </c>
      <c r="D25" s="84" t="s">
        <v>159</v>
      </c>
    </row>
    <row r="26" customFormat="false" ht="15" hidden="false" customHeight="true" outlineLevel="0" collapsed="false">
      <c r="A26" s="83" t="s">
        <v>116</v>
      </c>
      <c r="B26" s="74" t="n">
        <v>32.37</v>
      </c>
      <c r="C26" s="74" t="n">
        <v>29.58</v>
      </c>
      <c r="D26" s="84" t="s">
        <v>159</v>
      </c>
    </row>
    <row r="27" customFormat="false" ht="15" hidden="false" customHeight="true" outlineLevel="0" collapsed="false">
      <c r="A27" s="83" t="s">
        <v>117</v>
      </c>
      <c r="B27" s="74" t="n">
        <v>32.28</v>
      </c>
      <c r="C27" s="74" t="n">
        <v>29.66</v>
      </c>
      <c r="D27" s="84" t="s">
        <v>159</v>
      </c>
    </row>
    <row r="28" customFormat="false" ht="15" hidden="false" customHeight="true" outlineLevel="0" collapsed="false">
      <c r="A28" s="83" t="s">
        <v>118</v>
      </c>
      <c r="B28" s="74" t="n">
        <v>32.84</v>
      </c>
      <c r="C28" s="74" t="n">
        <v>30.44</v>
      </c>
      <c r="D28" s="84" t="s">
        <v>159</v>
      </c>
    </row>
    <row r="29" customFormat="false" ht="15" hidden="false" customHeight="true" outlineLevel="0" collapsed="false">
      <c r="A29" s="83" t="s">
        <v>119</v>
      </c>
      <c r="B29" s="74" t="n">
        <v>32.84</v>
      </c>
      <c r="C29" s="74" t="n">
        <v>30.44</v>
      </c>
      <c r="D29" s="84" t="s">
        <v>159</v>
      </c>
    </row>
    <row r="30" customFormat="false" ht="15" hidden="false" customHeight="true" outlineLevel="0" collapsed="false">
      <c r="A30" s="83" t="s">
        <v>120</v>
      </c>
      <c r="B30" s="74" t="n">
        <v>33.05</v>
      </c>
      <c r="C30" s="74" t="n">
        <v>30.44</v>
      </c>
      <c r="D30" s="84" t="s">
        <v>159</v>
      </c>
    </row>
    <row r="31" customFormat="false" ht="15" hidden="false" customHeight="true" outlineLevel="0" collapsed="false">
      <c r="A31" s="83" t="s">
        <v>121</v>
      </c>
      <c r="B31" s="74" t="n">
        <v>26.82</v>
      </c>
      <c r="C31" s="74" t="n">
        <v>31.79</v>
      </c>
      <c r="D31" s="84" t="s">
        <v>158</v>
      </c>
    </row>
    <row r="32" customFormat="false" ht="15" hidden="false" customHeight="true" outlineLevel="0" collapsed="false">
      <c r="A32" s="83" t="s">
        <v>122</v>
      </c>
      <c r="B32" s="74" t="n">
        <v>27.22</v>
      </c>
      <c r="C32" s="74" t="n">
        <v>25.75</v>
      </c>
      <c r="D32" s="84" t="s">
        <v>159</v>
      </c>
    </row>
    <row r="33" customFormat="false" ht="15" hidden="false" customHeight="true" outlineLevel="0" collapsed="false">
      <c r="A33" s="83" t="s">
        <v>123</v>
      </c>
      <c r="B33" s="74" t="n">
        <v>28.67</v>
      </c>
      <c r="C33" s="74" t="n">
        <v>26.76</v>
      </c>
      <c r="D33" s="84" t="s">
        <v>159</v>
      </c>
    </row>
    <row r="36" customFormat="false" ht="15" hidden="false" customHeight="true" outlineLevel="0" collapsed="false">
      <c r="A36" s="64" t="s">
        <v>160</v>
      </c>
      <c r="B36" s="64"/>
      <c r="C36" s="64"/>
      <c r="D36" s="64"/>
      <c r="E36" s="64"/>
      <c r="F36" s="64"/>
    </row>
    <row r="37" customFormat="false" ht="15" hidden="false" customHeight="true" outlineLevel="0" collapsed="false">
      <c r="A37" s="85" t="s">
        <v>161</v>
      </c>
      <c r="B37" s="85"/>
      <c r="C37" s="85"/>
      <c r="D37" s="85"/>
      <c r="E37" s="85"/>
      <c r="F37" s="85"/>
    </row>
    <row r="38" customFormat="false" ht="15" hidden="false" customHeight="true" outlineLevel="0" collapsed="false">
      <c r="A38" s="85" t="s">
        <v>162</v>
      </c>
      <c r="B38" s="85"/>
      <c r="C38" s="85"/>
      <c r="D38" s="85"/>
      <c r="E38" s="85"/>
      <c r="F38" s="85"/>
    </row>
    <row r="39" customFormat="false" ht="15" hidden="false" customHeight="true" outlineLevel="0" collapsed="false">
      <c r="A39" s="85" t="s">
        <v>163</v>
      </c>
      <c r="B39" s="85"/>
      <c r="C39" s="85"/>
      <c r="D39" s="85"/>
      <c r="E39" s="85"/>
      <c r="F39" s="85"/>
    </row>
    <row r="40" customFormat="false" ht="15" hidden="false" customHeight="true" outlineLevel="0" collapsed="false">
      <c r="A40" s="85" t="s">
        <v>164</v>
      </c>
      <c r="B40" s="85"/>
      <c r="C40" s="85"/>
      <c r="D40" s="85"/>
      <c r="E40" s="85"/>
      <c r="F40" s="85"/>
    </row>
    <row r="41" customFormat="false" ht="15" hidden="false" customHeight="true" outlineLevel="0" collapsed="false">
      <c r="A41" s="85" t="s">
        <v>165</v>
      </c>
      <c r="B41" s="85"/>
      <c r="C41" s="85"/>
      <c r="D41" s="85"/>
      <c r="E41" s="85"/>
      <c r="F41" s="85"/>
    </row>
    <row r="42" customFormat="false" ht="15" hidden="false" customHeight="true" outlineLevel="0" collapsed="false">
      <c r="A42" s="85" t="s">
        <v>166</v>
      </c>
      <c r="B42" s="85"/>
      <c r="C42" s="85"/>
      <c r="D42" s="85"/>
      <c r="E42" s="85"/>
      <c r="F42" s="85"/>
    </row>
    <row r="43" customFormat="false" ht="15" hidden="false" customHeight="true" outlineLevel="0" collapsed="false">
      <c r="A43" s="85" t="s">
        <v>167</v>
      </c>
      <c r="B43" s="85"/>
      <c r="C43" s="85"/>
      <c r="D43" s="85"/>
      <c r="E43" s="85"/>
      <c r="F43" s="85"/>
    </row>
    <row r="44" customFormat="false" ht="15" hidden="false" customHeight="true" outlineLevel="0" collapsed="false">
      <c r="A44" s="85" t="s">
        <v>168</v>
      </c>
      <c r="B44" s="85"/>
      <c r="C44" s="85"/>
      <c r="D44" s="85"/>
      <c r="E44" s="85"/>
      <c r="F44" s="85"/>
    </row>
  </sheetData>
  <mergeCells count="12">
    <mergeCell ref="A1:F1"/>
    <mergeCell ref="A2:F2"/>
    <mergeCell ref="A14:F14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7" min="6" style="1" width="16"/>
    <col collapsed="false" customWidth="true" hidden="false" outlineLevel="0" max="8" min="8" style="1" width="22"/>
  </cols>
  <sheetData>
    <row r="1" customFormat="false" ht="15" hidden="false" customHeight="true" outlineLevel="0" collapsed="false">
      <c r="A1" s="64" t="s">
        <v>169</v>
      </c>
      <c r="B1" s="64"/>
      <c r="C1" s="64"/>
      <c r="D1" s="64"/>
      <c r="E1" s="64"/>
      <c r="F1" s="64"/>
      <c r="G1" s="64"/>
      <c r="H1" s="64"/>
    </row>
    <row r="2" customFormat="false" ht="15" hidden="false" customHeight="true" outlineLevel="0" collapsed="false">
      <c r="A2" s="65" t="s">
        <v>170</v>
      </c>
      <c r="B2" s="65"/>
      <c r="C2" s="65"/>
      <c r="D2" s="65"/>
      <c r="E2" s="65"/>
      <c r="F2" s="65"/>
      <c r="G2" s="65"/>
      <c r="H2" s="65"/>
    </row>
    <row r="4" customFormat="false" ht="26.25" hidden="false" customHeight="true" outlineLevel="0" collapsed="false">
      <c r="A4" s="66" t="s">
        <v>89</v>
      </c>
      <c r="B4" s="66" t="s">
        <v>135</v>
      </c>
      <c r="C4" s="66" t="s">
        <v>171</v>
      </c>
      <c r="D4" s="66" t="s">
        <v>5</v>
      </c>
      <c r="E4" s="66" t="s">
        <v>172</v>
      </c>
      <c r="F4" s="66" t="s">
        <v>173</v>
      </c>
      <c r="G4" s="66" t="s">
        <v>174</v>
      </c>
      <c r="H4" s="66" t="s">
        <v>175</v>
      </c>
    </row>
    <row r="5" customFormat="false" ht="15" hidden="false" customHeight="true" outlineLevel="0" collapsed="false">
      <c r="A5" s="67" t="s">
        <v>139</v>
      </c>
      <c r="B5" s="69" t="n">
        <v>15752</v>
      </c>
      <c r="C5" s="70" t="n">
        <v>118839</v>
      </c>
      <c r="D5" s="68" t="n">
        <v>28.67</v>
      </c>
      <c r="E5" s="86" t="s">
        <v>123</v>
      </c>
      <c r="F5" s="86" t="s">
        <v>176</v>
      </c>
      <c r="G5" s="86" t="s">
        <v>177</v>
      </c>
      <c r="H5" s="87" t="s">
        <v>178</v>
      </c>
    </row>
    <row r="6" customFormat="false" ht="15" hidden="false" customHeight="true" outlineLevel="0" collapsed="false">
      <c r="A6" s="73" t="s">
        <v>179</v>
      </c>
      <c r="B6" s="75" t="n">
        <v>16571</v>
      </c>
      <c r="C6" s="76" t="n">
        <v>125797</v>
      </c>
      <c r="D6" s="74" t="n">
        <v>37.1</v>
      </c>
      <c r="E6" s="78" t="s">
        <v>123</v>
      </c>
      <c r="F6" s="78" t="s">
        <v>180</v>
      </c>
      <c r="G6" s="78" t="s">
        <v>181</v>
      </c>
      <c r="H6" s="78"/>
    </row>
    <row r="7" customFormat="false" ht="15" hidden="false" customHeight="true" outlineLevel="0" collapsed="false">
      <c r="A7" s="73" t="s">
        <v>182</v>
      </c>
      <c r="B7" s="75" t="n">
        <v>16058</v>
      </c>
      <c r="C7" s="76" t="n">
        <v>114529</v>
      </c>
      <c r="D7" s="74" t="n">
        <v>35.93</v>
      </c>
      <c r="E7" s="78" t="s">
        <v>183</v>
      </c>
      <c r="F7" s="78" t="s">
        <v>184</v>
      </c>
      <c r="G7" s="78" t="s">
        <v>181</v>
      </c>
      <c r="H7" s="88" t="s">
        <v>185</v>
      </c>
    </row>
    <row r="8" customFormat="false" ht="15" hidden="false" customHeight="true" outlineLevel="0" collapsed="false">
      <c r="A8" s="73" t="s">
        <v>186</v>
      </c>
      <c r="B8" s="75" t="n">
        <v>15575</v>
      </c>
      <c r="C8" s="76" t="n">
        <v>101234</v>
      </c>
      <c r="D8" s="74" t="n">
        <v>37.14</v>
      </c>
      <c r="E8" s="78" t="s">
        <v>183</v>
      </c>
      <c r="F8" s="78" t="s">
        <v>176</v>
      </c>
      <c r="G8" s="78" t="s">
        <v>177</v>
      </c>
      <c r="H8" s="78"/>
    </row>
    <row r="9" customFormat="false" ht="15" hidden="false" customHeight="true" outlineLevel="0" collapsed="false">
      <c r="A9" s="73" t="s">
        <v>187</v>
      </c>
      <c r="B9" s="75" t="n">
        <v>15964</v>
      </c>
      <c r="C9" s="76" t="n">
        <v>115000</v>
      </c>
      <c r="D9" s="74" t="n">
        <v>23.41</v>
      </c>
      <c r="E9" s="78" t="s">
        <v>183</v>
      </c>
      <c r="F9" s="78" t="s">
        <v>188</v>
      </c>
      <c r="G9" s="78" t="s">
        <v>177</v>
      </c>
      <c r="H9" s="88" t="s">
        <v>185</v>
      </c>
    </row>
    <row r="10" customFormat="false" ht="15" hidden="false" customHeight="true" outlineLevel="0" collapsed="false">
      <c r="A10" s="73" t="s">
        <v>180</v>
      </c>
      <c r="B10" s="75" t="n">
        <v>14502</v>
      </c>
      <c r="C10" s="76" t="n">
        <v>132500</v>
      </c>
      <c r="D10" s="74" t="n">
        <v>27.19</v>
      </c>
      <c r="E10" s="78" t="s">
        <v>183</v>
      </c>
      <c r="F10" s="78" t="s">
        <v>180</v>
      </c>
      <c r="G10" s="78" t="s">
        <v>181</v>
      </c>
      <c r="H10" s="88" t="s">
        <v>185</v>
      </c>
    </row>
    <row r="11" customFormat="false" ht="15" hidden="false" customHeight="true" outlineLevel="0" collapsed="false">
      <c r="A11" s="73" t="s">
        <v>141</v>
      </c>
      <c r="B11" s="75" t="n">
        <v>13109</v>
      </c>
      <c r="C11" s="76" t="n">
        <v>118775</v>
      </c>
      <c r="D11" s="74" t="n">
        <v>38.04</v>
      </c>
      <c r="E11" s="78" t="s">
        <v>123</v>
      </c>
      <c r="F11" s="78" t="s">
        <v>189</v>
      </c>
      <c r="G11" s="78" t="s">
        <v>177</v>
      </c>
      <c r="H11" s="78"/>
    </row>
    <row r="12" customFormat="false" ht="15" hidden="false" customHeight="true" outlineLevel="0" collapsed="false">
      <c r="A12" s="73" t="s">
        <v>190</v>
      </c>
      <c r="B12" s="75" t="n">
        <v>15315</v>
      </c>
      <c r="C12" s="76" t="n">
        <v>72000</v>
      </c>
      <c r="D12" s="74" t="n">
        <v>29.88</v>
      </c>
      <c r="E12" s="78" t="s">
        <v>123</v>
      </c>
      <c r="F12" s="78" t="s">
        <v>191</v>
      </c>
      <c r="G12" s="78" t="s">
        <v>192</v>
      </c>
      <c r="H12" s="78"/>
    </row>
    <row r="14" customFormat="false" ht="15" hidden="false" customHeight="true" outlineLevel="0" collapsed="false">
      <c r="A14" s="64" t="s">
        <v>193</v>
      </c>
      <c r="B14" s="64"/>
      <c r="C14" s="64"/>
      <c r="D14" s="64"/>
    </row>
    <row r="15" customFormat="false" ht="15" hidden="false" customHeight="true" outlineLevel="0" collapsed="false">
      <c r="A15" s="81" t="s">
        <v>194</v>
      </c>
      <c r="B15" s="89" t="n">
        <v>28.67</v>
      </c>
    </row>
    <row r="16" customFormat="false" ht="15" hidden="false" customHeight="true" outlineLevel="0" collapsed="false">
      <c r="A16" s="81" t="s">
        <v>195</v>
      </c>
      <c r="B16" s="90" t="n">
        <f aca="false">AVERAGE(D6:D12)</f>
        <v>32.67</v>
      </c>
    </row>
    <row r="17" customFormat="false" ht="15" hidden="false" customHeight="true" outlineLevel="0" collapsed="false">
      <c r="A17" s="81" t="s">
        <v>196</v>
      </c>
      <c r="B17" s="91" t="n">
        <f aca="false">(B15-B16)/B16</f>
        <v>-0.12243648607285</v>
      </c>
    </row>
    <row r="18" customFormat="false" ht="15" hidden="false" customHeight="true" outlineLevel="0" collapsed="false">
      <c r="A18" s="81"/>
    </row>
    <row r="19" customFormat="false" ht="15" hidden="false" customHeight="true" outlineLevel="0" collapsed="false">
      <c r="A19" s="81" t="s">
        <v>197</v>
      </c>
      <c r="B19" s="92" t="n">
        <f aca="false">COUNTIF(D6:D12,"&gt;"&amp;D5)</f>
        <v>5</v>
      </c>
    </row>
    <row r="20" customFormat="false" ht="15" hidden="false" customHeight="true" outlineLevel="0" collapsed="false">
      <c r="A20" s="81" t="s">
        <v>198</v>
      </c>
      <c r="B20" s="92" t="n">
        <f aca="false">COUNTIF(D6:D12,"&lt;"&amp;D5)</f>
        <v>2</v>
      </c>
    </row>
    <row r="21" customFormat="false" ht="15" hidden="false" customHeight="true" outlineLevel="0" collapsed="false">
      <c r="A21" s="81"/>
    </row>
    <row r="22" customFormat="false" ht="15" hidden="false" customHeight="true" outlineLevel="0" collapsed="false">
      <c r="A22" s="81" t="s">
        <v>199</v>
      </c>
      <c r="B22" s="93" t="n">
        <v>15752</v>
      </c>
    </row>
    <row r="23" customFormat="false" ht="15" hidden="false" customHeight="true" outlineLevel="0" collapsed="false">
      <c r="A23" s="81" t="s">
        <v>200</v>
      </c>
      <c r="B23" s="94" t="n">
        <f aca="false">AVERAGE(B6:B12)</f>
        <v>15299.1428571429</v>
      </c>
    </row>
    <row r="24" customFormat="false" ht="15" hidden="false" customHeight="true" outlineLevel="0" collapsed="false">
      <c r="A24" s="81" t="s">
        <v>201</v>
      </c>
      <c r="B24" s="95" t="n">
        <v>118839</v>
      </c>
    </row>
    <row r="25" customFormat="false" ht="15" hidden="false" customHeight="true" outlineLevel="0" collapsed="false">
      <c r="A25" s="81" t="s">
        <v>202</v>
      </c>
      <c r="B25" s="96" t="n">
        <f aca="false">AVERAGE(C6:C12)</f>
        <v>111405</v>
      </c>
    </row>
    <row r="28" customFormat="false" ht="15" hidden="false" customHeight="true" outlineLevel="0" collapsed="false">
      <c r="A28" s="64" t="s">
        <v>203</v>
      </c>
      <c r="B28" s="64"/>
      <c r="C28" s="64"/>
      <c r="D28" s="64"/>
      <c r="E28" s="64"/>
      <c r="F28" s="64"/>
      <c r="G28" s="64"/>
      <c r="H28" s="64"/>
    </row>
    <row r="29" customFormat="false" ht="15" hidden="false" customHeight="true" outlineLevel="0" collapsed="false">
      <c r="A29" s="85" t="s">
        <v>204</v>
      </c>
      <c r="B29" s="85"/>
      <c r="C29" s="85"/>
      <c r="D29" s="85"/>
      <c r="E29" s="85"/>
      <c r="F29" s="85"/>
      <c r="G29" s="85"/>
      <c r="H29" s="85"/>
    </row>
    <row r="30" customFormat="false" ht="15" hidden="false" customHeight="true" outlineLevel="0" collapsed="false">
      <c r="A30" s="85" t="s">
        <v>205</v>
      </c>
      <c r="B30" s="85"/>
      <c r="C30" s="85"/>
      <c r="D30" s="85"/>
      <c r="E30" s="85"/>
      <c r="F30" s="85"/>
      <c r="G30" s="85"/>
      <c r="H30" s="85"/>
    </row>
    <row r="31" customFormat="false" ht="15" hidden="false" customHeight="true" outlineLevel="0" collapsed="false">
      <c r="A31" s="85" t="s">
        <v>206</v>
      </c>
      <c r="B31" s="85"/>
      <c r="C31" s="85"/>
      <c r="D31" s="85"/>
      <c r="E31" s="85"/>
      <c r="F31" s="85"/>
      <c r="G31" s="85"/>
      <c r="H31" s="85"/>
    </row>
    <row r="32" customFormat="false" ht="15" hidden="false" customHeight="true" outlineLevel="0" collapsed="false">
      <c r="A32" s="85" t="s">
        <v>207</v>
      </c>
      <c r="B32" s="85"/>
      <c r="C32" s="85"/>
      <c r="D32" s="85"/>
      <c r="E32" s="85"/>
      <c r="F32" s="85"/>
      <c r="G32" s="85"/>
      <c r="H32" s="85"/>
    </row>
    <row r="33" customFormat="false" ht="15" hidden="false" customHeight="true" outlineLevel="0" collapsed="false">
      <c r="A33" s="85" t="s">
        <v>208</v>
      </c>
      <c r="B33" s="85"/>
      <c r="C33" s="85"/>
      <c r="D33" s="85"/>
      <c r="E33" s="85"/>
      <c r="F33" s="85"/>
      <c r="G33" s="85"/>
      <c r="H33" s="85"/>
    </row>
    <row r="34" customFormat="false" ht="15" hidden="false" customHeight="true" outlineLevel="0" collapsed="false">
      <c r="A34" s="85" t="s">
        <v>209</v>
      </c>
      <c r="B34" s="85"/>
      <c r="C34" s="85"/>
      <c r="D34" s="85"/>
      <c r="E34" s="85"/>
      <c r="F34" s="85"/>
      <c r="G34" s="85"/>
      <c r="H34" s="85"/>
    </row>
    <row r="35" customFormat="false" ht="15" hidden="false" customHeight="true" outlineLevel="0" collapsed="false">
      <c r="A35" s="85" t="s">
        <v>210</v>
      </c>
      <c r="B35" s="85"/>
      <c r="C35" s="85"/>
      <c r="D35" s="85"/>
      <c r="E35" s="85"/>
      <c r="F35" s="85"/>
      <c r="G35" s="85"/>
      <c r="H35" s="85"/>
    </row>
    <row r="36" customFormat="false" ht="15" hidden="false" customHeight="true" outlineLevel="0" collapsed="false">
      <c r="A36" s="85" t="s">
        <v>211</v>
      </c>
      <c r="B36" s="85"/>
      <c r="C36" s="85"/>
      <c r="D36" s="85"/>
      <c r="E36" s="85"/>
      <c r="F36" s="85"/>
      <c r="G36" s="85"/>
      <c r="H36" s="85"/>
    </row>
    <row r="39" customFormat="false" ht="15" hidden="false" customHeight="true" outlineLevel="0" collapsed="false">
      <c r="A39" s="64" t="s">
        <v>212</v>
      </c>
      <c r="B39" s="64"/>
      <c r="C39" s="64"/>
      <c r="D39" s="64"/>
      <c r="E39" s="64"/>
      <c r="F39" s="64"/>
    </row>
    <row r="40" customFormat="false" ht="26.25" hidden="false" customHeight="true" outlineLevel="0" collapsed="false">
      <c r="A40" s="66" t="s">
        <v>89</v>
      </c>
      <c r="B40" s="66" t="s">
        <v>135</v>
      </c>
      <c r="C40" s="66" t="s">
        <v>136</v>
      </c>
      <c r="D40" s="66" t="s">
        <v>213</v>
      </c>
      <c r="E40" s="66" t="s">
        <v>214</v>
      </c>
      <c r="F40" s="66" t="s">
        <v>215</v>
      </c>
    </row>
    <row r="41" customFormat="false" ht="15" hidden="false" customHeight="true" outlineLevel="0" collapsed="false">
      <c r="A41" s="67" t="s">
        <v>139</v>
      </c>
      <c r="B41" s="69" t="n">
        <v>15752</v>
      </c>
      <c r="C41" s="70" t="n">
        <v>62678131</v>
      </c>
      <c r="D41" s="71" t="n">
        <f aca="false">C41/B41</f>
        <v>3979.05859573388</v>
      </c>
      <c r="E41" s="97" t="n">
        <f aca="false">D41/D41-1</f>
        <v>0</v>
      </c>
      <c r="F41" s="87" t="s">
        <v>216</v>
      </c>
    </row>
    <row r="42" customFormat="false" ht="15" hidden="false" customHeight="true" outlineLevel="0" collapsed="false">
      <c r="A42" s="73" t="s">
        <v>179</v>
      </c>
      <c r="B42" s="75" t="n">
        <v>16571</v>
      </c>
      <c r="C42" s="76" t="n">
        <v>71200000</v>
      </c>
      <c r="D42" s="77" t="n">
        <f aca="false">C42/B42</f>
        <v>4296.66284472874</v>
      </c>
      <c r="E42" s="98" t="n">
        <f aca="false">D42/D41-1</f>
        <v>0.0798189424341189</v>
      </c>
      <c r="F42" s="88" t="s">
        <v>217</v>
      </c>
    </row>
    <row r="43" customFormat="false" ht="15" hidden="false" customHeight="true" outlineLevel="0" collapsed="false">
      <c r="A43" s="73" t="s">
        <v>141</v>
      </c>
      <c r="B43" s="75" t="n">
        <v>13109</v>
      </c>
      <c r="C43" s="76" t="n">
        <v>56700000</v>
      </c>
      <c r="D43" s="77" t="n">
        <f aca="false">C43/B43</f>
        <v>4325.27271340301</v>
      </c>
      <c r="E43" s="98" t="n">
        <f aca="false">D43/D41-1</f>
        <v>0.0870090523523133</v>
      </c>
      <c r="F43" s="88" t="s">
        <v>218</v>
      </c>
    </row>
    <row r="44" customFormat="false" ht="15" hidden="false" customHeight="true" outlineLevel="0" collapsed="false">
      <c r="A44" s="73" t="s">
        <v>186</v>
      </c>
      <c r="B44" s="75" t="n">
        <v>15575</v>
      </c>
      <c r="C44" s="76" t="n">
        <v>67400000</v>
      </c>
      <c r="D44" s="77" t="n">
        <f aca="false">C44/B44</f>
        <v>4327.44783306581</v>
      </c>
      <c r="E44" s="98" t="n">
        <f aca="false">D44/D41-1</f>
        <v>0.0875556941296263</v>
      </c>
      <c r="F44" s="88" t="s">
        <v>219</v>
      </c>
    </row>
    <row r="45" customFormat="false" ht="15" hidden="false" customHeight="true" outlineLevel="0" collapsed="false">
      <c r="A45" s="73" t="s">
        <v>180</v>
      </c>
      <c r="B45" s="75" t="n">
        <v>14502</v>
      </c>
      <c r="C45" s="76" t="n">
        <v>63666000</v>
      </c>
      <c r="D45" s="77" t="n">
        <f aca="false">C45/B45</f>
        <v>4390.15308233347</v>
      </c>
      <c r="E45" s="98" t="n">
        <f aca="false">D45/D41-1</f>
        <v>0.103314509376753</v>
      </c>
      <c r="F45" s="88" t="s">
        <v>220</v>
      </c>
    </row>
    <row r="46" customFormat="false" ht="15" hidden="false" customHeight="true" outlineLevel="0" collapsed="false">
      <c r="A46" s="81" t="s">
        <v>221</v>
      </c>
      <c r="D46" s="99" t="n">
        <f aca="false">AVERAGE(D42:D45)</f>
        <v>4334.88411838276</v>
      </c>
      <c r="E46" s="100" t="n">
        <f aca="false">D46/D41-1</f>
        <v>0.0894245495732027</v>
      </c>
    </row>
    <row r="48" customFormat="false" ht="15" hidden="false" customHeight="true" outlineLevel="0" collapsed="false">
      <c r="A48" s="101" t="s">
        <v>222</v>
      </c>
      <c r="B48" s="101"/>
      <c r="C48" s="101"/>
      <c r="D48" s="101"/>
      <c r="E48" s="101"/>
      <c r="F48" s="101"/>
    </row>
  </sheetData>
  <mergeCells count="14">
    <mergeCell ref="A1:H1"/>
    <mergeCell ref="A2:H2"/>
    <mergeCell ref="A14:D14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9:F39"/>
    <mergeCell ref="A48:F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4"/>
    <col collapsed="false" customWidth="true" hidden="false" outlineLevel="0" max="8" min="4" style="1" width="16"/>
    <col collapsed="false" customWidth="true" hidden="false" outlineLevel="0" max="9" min="9" style="1" width="12"/>
  </cols>
  <sheetData>
    <row r="1" customFormat="false" ht="17.25" hidden="false" customHeight="true" outlineLevel="0" collapsed="false">
      <c r="A1" s="102" t="s">
        <v>223</v>
      </c>
    </row>
    <row r="2" customFormat="false" ht="15" hidden="false" customHeight="true" outlineLevel="0" collapsed="false">
      <c r="A2" s="103" t="s">
        <v>224</v>
      </c>
    </row>
    <row r="3" customFormat="false" ht="15" hidden="false" customHeight="true" outlineLevel="0" collapsed="false">
      <c r="A3" s="104" t="s">
        <v>225</v>
      </c>
    </row>
    <row r="5" customFormat="false" ht="15" hidden="false" customHeight="true" outlineLevel="0" collapsed="false">
      <c r="A5" s="105" t="s">
        <v>226</v>
      </c>
      <c r="B5" s="105"/>
      <c r="C5" s="105"/>
      <c r="D5" s="105"/>
      <c r="E5" s="105"/>
      <c r="F5" s="105"/>
      <c r="G5" s="105"/>
      <c r="H5" s="105"/>
      <c r="I5" s="105"/>
    </row>
    <row r="6" customFormat="false" ht="39" hidden="false" customHeight="true" outlineLevel="0" collapsed="false">
      <c r="A6" s="106" t="s">
        <v>1</v>
      </c>
      <c r="B6" s="106" t="s">
        <v>227</v>
      </c>
      <c r="C6" s="106" t="s">
        <v>228</v>
      </c>
      <c r="D6" s="106" t="s">
        <v>229</v>
      </c>
      <c r="E6" s="106" t="s">
        <v>230</v>
      </c>
      <c r="F6" s="106" t="s">
        <v>231</v>
      </c>
      <c r="G6" s="106" t="s">
        <v>232</v>
      </c>
      <c r="H6" s="106" t="s">
        <v>3</v>
      </c>
      <c r="I6" s="106" t="s">
        <v>233</v>
      </c>
    </row>
    <row r="7" customFormat="false" ht="15" hidden="false" customHeight="true" outlineLevel="0" collapsed="false">
      <c r="A7" s="107" t="s">
        <v>12</v>
      </c>
      <c r="B7" s="108" t="n">
        <v>12976438</v>
      </c>
      <c r="C7" s="109" t="n">
        <v>100</v>
      </c>
      <c r="D7" s="110" t="n">
        <f aca="false">B7</f>
        <v>12976438</v>
      </c>
      <c r="E7" s="111" t="n">
        <f aca="false">B7-D7</f>
        <v>0</v>
      </c>
      <c r="F7" s="111" t="n">
        <f aca="false">E7</f>
        <v>0</v>
      </c>
      <c r="G7" s="112" t="n">
        <f aca="false">B7/H7</f>
        <v>0.367671542126339</v>
      </c>
      <c r="H7" s="108" t="n">
        <v>35293561</v>
      </c>
      <c r="I7" s="107" t="s">
        <v>234</v>
      </c>
    </row>
    <row r="8" customFormat="false" ht="15" hidden="false" customHeight="true" outlineLevel="0" collapsed="false">
      <c r="A8" s="113" t="s">
        <v>13</v>
      </c>
      <c r="B8" s="114" t="n">
        <v>13547231</v>
      </c>
      <c r="C8" s="115" t="n">
        <v>99.6</v>
      </c>
      <c r="D8" s="116" t="n">
        <f aca="false">B7*(C8/C7)</f>
        <v>12924532.248</v>
      </c>
      <c r="E8" s="117" t="n">
        <f aca="false">B8-D8</f>
        <v>622698.752</v>
      </c>
      <c r="F8" s="117" t="n">
        <f aca="false">F7+E8</f>
        <v>622698.752</v>
      </c>
      <c r="G8" s="118" t="n">
        <f aca="false">B8/H8</f>
        <v>0.373036750996996</v>
      </c>
      <c r="H8" s="114" t="n">
        <v>36316076</v>
      </c>
      <c r="I8" s="118" t="n">
        <f aca="false">(B8-B7)/B7</f>
        <v>0.043986878371399</v>
      </c>
    </row>
    <row r="9" customFormat="false" ht="15" hidden="false" customHeight="true" outlineLevel="0" collapsed="false">
      <c r="A9" s="107" t="s">
        <v>14</v>
      </c>
      <c r="B9" s="108" t="n">
        <v>13547231</v>
      </c>
      <c r="C9" s="109" t="n">
        <v>101.3</v>
      </c>
      <c r="D9" s="110" t="n">
        <f aca="false">B7*(C9/C7)</f>
        <v>13145131.694</v>
      </c>
      <c r="E9" s="111" t="n">
        <f aca="false">B9-D9</f>
        <v>402099.306000002</v>
      </c>
      <c r="F9" s="111" t="n">
        <f aca="false">F8+E9</f>
        <v>1024798.058</v>
      </c>
      <c r="G9" s="112" t="n">
        <f aca="false">B9/H9</f>
        <v>0.367612633686729</v>
      </c>
      <c r="H9" s="108" t="n">
        <v>36851919</v>
      </c>
      <c r="I9" s="112" t="n">
        <f aca="false">(B9-B8)/B8</f>
        <v>0</v>
      </c>
    </row>
    <row r="10" customFormat="false" ht="15" hidden="false" customHeight="true" outlineLevel="0" collapsed="false">
      <c r="A10" s="113" t="s">
        <v>15</v>
      </c>
      <c r="B10" s="114" t="n">
        <v>11614515</v>
      </c>
      <c r="C10" s="115" t="n">
        <v>104.5</v>
      </c>
      <c r="D10" s="116" t="n">
        <f aca="false">B7*(C10/C7)</f>
        <v>13560377.71</v>
      </c>
      <c r="E10" s="117" t="n">
        <f aca="false">B10-D10</f>
        <v>-1945862.71</v>
      </c>
      <c r="F10" s="117" t="n">
        <f aca="false">F9+E10</f>
        <v>-921064.651999997</v>
      </c>
      <c r="G10" s="118" t="n">
        <f aca="false">B10/H10</f>
        <v>0.317065661485145</v>
      </c>
      <c r="H10" s="114" t="n">
        <v>36631261</v>
      </c>
      <c r="I10" s="118" t="n">
        <f aca="false">(B10-B9)/B9</f>
        <v>-0.142665021361192</v>
      </c>
    </row>
    <row r="11" customFormat="false" ht="15" hidden="false" customHeight="true" outlineLevel="0" collapsed="false">
      <c r="A11" s="107" t="s">
        <v>16</v>
      </c>
      <c r="B11" s="108" t="n">
        <v>13547231</v>
      </c>
      <c r="C11" s="109" t="n">
        <v>106.6</v>
      </c>
      <c r="D11" s="110" t="n">
        <f aca="false">B7*(C11/C7)</f>
        <v>13832882.908</v>
      </c>
      <c r="E11" s="111" t="n">
        <f aca="false">B11-D11</f>
        <v>-285651.907999998</v>
      </c>
      <c r="F11" s="111" t="n">
        <f aca="false">F10+E11</f>
        <v>-1206716.56</v>
      </c>
      <c r="G11" s="112" t="n">
        <f aca="false">B11/H11</f>
        <v>0.367839814099475</v>
      </c>
      <c r="H11" s="108" t="n">
        <v>36829159</v>
      </c>
      <c r="I11" s="112" t="n">
        <f aca="false">(B11-B10)/B10</f>
        <v>0.166405226563485</v>
      </c>
    </row>
    <row r="12" customFormat="false" ht="15" hidden="false" customHeight="true" outlineLevel="0" collapsed="false">
      <c r="A12" s="113" t="s">
        <v>17</v>
      </c>
      <c r="B12" s="114" t="n">
        <v>13723859</v>
      </c>
      <c r="C12" s="115" t="n">
        <v>108.2</v>
      </c>
      <c r="D12" s="116" t="n">
        <f aca="false">B7*(C12/C7)</f>
        <v>14040505.916</v>
      </c>
      <c r="E12" s="117" t="n">
        <f aca="false">B12-D12</f>
        <v>-316646.916000001</v>
      </c>
      <c r="F12" s="117" t="n">
        <f aca="false">F11+E12</f>
        <v>-1523363.476</v>
      </c>
      <c r="G12" s="118" t="n">
        <f aca="false">B12/H12</f>
        <v>0.365681669716887</v>
      </c>
      <c r="H12" s="114" t="n">
        <v>37529524</v>
      </c>
      <c r="I12" s="118" t="n">
        <f aca="false">(B12-B11)/B11</f>
        <v>0.0130379411113607</v>
      </c>
    </row>
    <row r="13" customFormat="false" ht="15" hidden="false" customHeight="true" outlineLevel="0" collapsed="false">
      <c r="A13" s="107" t="s">
        <v>18</v>
      </c>
      <c r="B13" s="108" t="n">
        <v>13773810</v>
      </c>
      <c r="C13" s="109" t="n">
        <v>110</v>
      </c>
      <c r="D13" s="110" t="n">
        <f aca="false">B7*(C13/C7)</f>
        <v>14274081.8</v>
      </c>
      <c r="E13" s="111" t="n">
        <f aca="false">B13-D13</f>
        <v>-500271.800000001</v>
      </c>
      <c r="F13" s="111" t="n">
        <f aca="false">F12+E13</f>
        <v>-2023635.276</v>
      </c>
      <c r="G13" s="112" t="n">
        <f aca="false">B13/H13</f>
        <v>0.352499461416183</v>
      </c>
      <c r="H13" s="108" t="n">
        <v>39074698</v>
      </c>
      <c r="I13" s="112" t="n">
        <f aca="false">(B13-B12)/B12</f>
        <v>0.00363971970274542</v>
      </c>
    </row>
    <row r="14" customFormat="false" ht="15" hidden="false" customHeight="true" outlineLevel="0" collapsed="false">
      <c r="A14" s="113" t="s">
        <v>19</v>
      </c>
      <c r="B14" s="114" t="n">
        <v>13761528</v>
      </c>
      <c r="C14" s="115" t="n">
        <v>110.1</v>
      </c>
      <c r="D14" s="116" t="n">
        <f aca="false">B7*(C14/C7)</f>
        <v>14287058.238</v>
      </c>
      <c r="E14" s="117" t="n">
        <f aca="false">B14-D14</f>
        <v>-525530.238</v>
      </c>
      <c r="F14" s="117" t="n">
        <f aca="false">F13+E14</f>
        <v>-2549165.514</v>
      </c>
      <c r="G14" s="118" t="n">
        <f aca="false">B14/H14</f>
        <v>0.347069312487141</v>
      </c>
      <c r="H14" s="114" t="n">
        <v>39650662</v>
      </c>
      <c r="I14" s="118" t="n">
        <f aca="false">(B14-B13)/B13</f>
        <v>-0.000891692276864571</v>
      </c>
    </row>
    <row r="15" customFormat="false" ht="15" hidden="false" customHeight="true" outlineLevel="0" collapsed="false">
      <c r="A15" s="107" t="s">
        <v>20</v>
      </c>
      <c r="B15" s="108" t="n">
        <v>13761528</v>
      </c>
      <c r="C15" s="109" t="n">
        <v>111.5</v>
      </c>
      <c r="D15" s="110" t="n">
        <f aca="false">B7*(C15/C7)</f>
        <v>14468728.37</v>
      </c>
      <c r="E15" s="111" t="n">
        <f aca="false">B15-D15</f>
        <v>-707200.369999999</v>
      </c>
      <c r="F15" s="111" t="n">
        <f aca="false">F14+E15</f>
        <v>-3256365.884</v>
      </c>
      <c r="G15" s="112" t="n">
        <f aca="false">B15/H15</f>
        <v>0.345723602562492</v>
      </c>
      <c r="H15" s="108" t="n">
        <v>39805000</v>
      </c>
      <c r="I15" s="112" t="n">
        <f aca="false">(B15-B14)/B14</f>
        <v>0</v>
      </c>
    </row>
    <row r="16" customFormat="false" ht="15" hidden="false" customHeight="true" outlineLevel="0" collapsed="false">
      <c r="A16" s="113" t="s">
        <v>21</v>
      </c>
      <c r="B16" s="114" t="n">
        <v>13591055</v>
      </c>
      <c r="C16" s="115" t="n">
        <v>113.8</v>
      </c>
      <c r="D16" s="116" t="n">
        <f aca="false">B7*(C16/C7)</f>
        <v>14767186.444</v>
      </c>
      <c r="E16" s="117" t="n">
        <f aca="false">B16-D16</f>
        <v>-1176131.444</v>
      </c>
      <c r="F16" s="117" t="n">
        <f aca="false">F15+E16</f>
        <v>-4432497.32799999</v>
      </c>
      <c r="G16" s="118" t="n">
        <f aca="false">B16/H16</f>
        <v>0.342309465041306</v>
      </c>
      <c r="H16" s="114" t="n">
        <v>39704000</v>
      </c>
      <c r="I16" s="118" t="n">
        <f aca="false">(B16-B15)/B15</f>
        <v>-0.012387650557409</v>
      </c>
    </row>
    <row r="17" customFormat="false" ht="15" hidden="false" customHeight="true" outlineLevel="0" collapsed="false">
      <c r="A17" s="107" t="s">
        <v>22</v>
      </c>
      <c r="B17" s="108" t="n">
        <v>13503310</v>
      </c>
      <c r="C17" s="109" t="n">
        <v>116.6</v>
      </c>
      <c r="D17" s="110" t="n">
        <f aca="false">B7*(C17/C7)</f>
        <v>15130526.708</v>
      </c>
      <c r="E17" s="111" t="n">
        <f aca="false">B17-D17</f>
        <v>-1627216.708</v>
      </c>
      <c r="F17" s="111" t="n">
        <f aca="false">F16+E17</f>
        <v>-6059714.03599999</v>
      </c>
      <c r="G17" s="112" t="n">
        <f aca="false">B17/H17</f>
        <v>0.33232372701991</v>
      </c>
      <c r="H17" s="108" t="n">
        <v>40633000</v>
      </c>
      <c r="I17" s="112" t="n">
        <f aca="false">(B17-B16)/B16</f>
        <v>-0.00645608453501218</v>
      </c>
    </row>
    <row r="18" customFormat="false" ht="15" hidden="false" customHeight="true" outlineLevel="0" collapsed="false">
      <c r="A18" s="113" t="s">
        <v>23</v>
      </c>
      <c r="B18" s="114" t="n">
        <v>12670601</v>
      </c>
      <c r="C18" s="115" t="n">
        <v>118.7</v>
      </c>
      <c r="D18" s="116" t="n">
        <f aca="false">B7*(C18/C7)</f>
        <v>15403031.906</v>
      </c>
      <c r="E18" s="117" t="n">
        <f aca="false">B18-D18</f>
        <v>-2732430.906</v>
      </c>
      <c r="F18" s="117" t="n">
        <f aca="false">F17+E18</f>
        <v>-8792144.94199999</v>
      </c>
      <c r="G18" s="118" t="n">
        <f aca="false">B18/H18</f>
        <v>0.312530240244685</v>
      </c>
      <c r="H18" s="114" t="n">
        <v>40542000</v>
      </c>
      <c r="I18" s="118" t="n">
        <f aca="false">(B18-B17)/B17</f>
        <v>-0.061667028306393</v>
      </c>
    </row>
    <row r="19" customFormat="false" ht="15" hidden="false" customHeight="true" outlineLevel="0" collapsed="false">
      <c r="A19" s="107" t="s">
        <v>24</v>
      </c>
      <c r="B19" s="108" t="n">
        <v>12359179</v>
      </c>
      <c r="C19" s="109" t="n">
        <v>120.2</v>
      </c>
      <c r="D19" s="110" t="n">
        <f aca="false">B7*(C19/C7)</f>
        <v>15597678.476</v>
      </c>
      <c r="E19" s="111" t="n">
        <f aca="false">B19-D19</f>
        <v>-3238499.476</v>
      </c>
      <c r="F19" s="111" t="n">
        <f aca="false">F18+E19</f>
        <v>-12030644.418</v>
      </c>
      <c r="G19" s="112" t="n">
        <f aca="false">B19/H19</f>
        <v>0.299718183140945</v>
      </c>
      <c r="H19" s="108" t="n">
        <v>41236000</v>
      </c>
      <c r="I19" s="112" t="n">
        <f aca="false">(B19-B18)/B18</f>
        <v>-0.0245783132149769</v>
      </c>
    </row>
    <row r="20" customFormat="false" ht="15" hidden="false" customHeight="true" outlineLevel="0" collapsed="false">
      <c r="A20" s="113" t="s">
        <v>25</v>
      </c>
      <c r="B20" s="114" t="n">
        <v>12040218</v>
      </c>
      <c r="C20" s="115" t="n">
        <v>125.9</v>
      </c>
      <c r="D20" s="116" t="n">
        <f aca="false">B7*(C20/C7)</f>
        <v>16337335.442</v>
      </c>
      <c r="E20" s="117" t="n">
        <f aca="false">B20-D20</f>
        <v>-4297117.442</v>
      </c>
      <c r="F20" s="117" t="n">
        <f aca="false">F19+E20</f>
        <v>-16327761.86</v>
      </c>
      <c r="G20" s="118" t="n">
        <f aca="false">B20/H20</f>
        <v>0.291460130718954</v>
      </c>
      <c r="H20" s="114" t="n">
        <v>41310000</v>
      </c>
      <c r="I20" s="118" t="n">
        <f aca="false">(B20-B19)/B19</f>
        <v>-0.025807620392908</v>
      </c>
    </row>
    <row r="21" customFormat="false" ht="15" hidden="false" customHeight="true" outlineLevel="0" collapsed="false">
      <c r="A21" s="107" t="s">
        <v>26</v>
      </c>
      <c r="B21" s="108" t="n">
        <v>12040218</v>
      </c>
      <c r="C21" s="109" t="n">
        <v>135.9</v>
      </c>
      <c r="D21" s="110" t="n">
        <f aca="false">B7*(C21/C7)</f>
        <v>17634979.242</v>
      </c>
      <c r="E21" s="111" t="n">
        <f aca="false">B21-D21</f>
        <v>-5594761.242</v>
      </c>
      <c r="F21" s="111" t="n">
        <f aca="false">F20+E21</f>
        <v>-21922523.102</v>
      </c>
      <c r="G21" s="112" t="n">
        <f aca="false">B21/H21</f>
        <v>0.286583152833647</v>
      </c>
      <c r="H21" s="108" t="n">
        <v>42013000</v>
      </c>
      <c r="I21" s="112" t="n">
        <f aca="false">(B21-B20)/B20</f>
        <v>0</v>
      </c>
    </row>
    <row r="22" customFormat="false" ht="15" hidden="false" customHeight="true" outlineLevel="0" collapsed="false">
      <c r="A22" s="113" t="s">
        <v>27</v>
      </c>
      <c r="B22" s="114" t="n">
        <v>12040218</v>
      </c>
      <c r="C22" s="115" t="n">
        <v>141.5</v>
      </c>
      <c r="D22" s="116" t="n">
        <f aca="false">B7*(C22/C7)</f>
        <v>18361659.77</v>
      </c>
      <c r="E22" s="117" t="n">
        <f aca="false">B22-D22</f>
        <v>-6321441.77</v>
      </c>
      <c r="F22" s="117" t="n">
        <f aca="false">F21+E22</f>
        <v>-28243964.872</v>
      </c>
      <c r="G22" s="118" t="n">
        <f aca="false">B22/H22</f>
        <v>0.278934738793004</v>
      </c>
      <c r="H22" s="114" t="n">
        <v>43165000</v>
      </c>
      <c r="I22" s="118" t="n">
        <f aca="false">(B22-B21)/B21</f>
        <v>0</v>
      </c>
    </row>
    <row r="23" customFormat="false" ht="15" hidden="false" customHeight="true" outlineLevel="0" collapsed="false">
      <c r="A23" s="107" t="s">
        <v>28</v>
      </c>
      <c r="B23" s="108" t="n">
        <v>12040218</v>
      </c>
      <c r="C23" s="109" t="n">
        <v>145.1</v>
      </c>
      <c r="D23" s="110" t="n">
        <f aca="false">B7*(C23/C7)</f>
        <v>18828811.538</v>
      </c>
      <c r="E23" s="111" t="n">
        <f aca="false">B23-D23</f>
        <v>-6788593.538</v>
      </c>
      <c r="F23" s="111" t="n">
        <f aca="false">F22+E23</f>
        <v>-35032558.41</v>
      </c>
      <c r="G23" s="112" t="n">
        <f aca="false">B23/H23</f>
        <v>0.270566696629214</v>
      </c>
      <c r="H23" s="108" t="n">
        <v>44500000</v>
      </c>
      <c r="I23" s="112" t="n">
        <f aca="false">(B23-B22)/B22</f>
        <v>0</v>
      </c>
    </row>
    <row r="24" customFormat="false" ht="15" hidden="false" customHeight="true" outlineLevel="0" collapsed="false">
      <c r="A24" s="113" t="s">
        <v>30</v>
      </c>
      <c r="B24" s="114" t="n">
        <v>12040218</v>
      </c>
      <c r="C24" s="115" t="n">
        <v>148</v>
      </c>
      <c r="D24" s="116" t="n">
        <f aca="false">B7*(C24/C7)</f>
        <v>19205128.24</v>
      </c>
      <c r="E24" s="117" t="n">
        <f aca="false">B24-D24</f>
        <v>-7164910.24</v>
      </c>
      <c r="F24" s="117" t="n">
        <f aca="false">F23+E24</f>
        <v>-42197468.65</v>
      </c>
      <c r="G24" s="118" t="n">
        <f aca="false">B24/H24</f>
        <v>0.264039868421053</v>
      </c>
      <c r="H24" s="114" t="n">
        <v>45600000</v>
      </c>
      <c r="I24" s="118" t="n">
        <f aca="false">(B24-B23)/B23</f>
        <v>0</v>
      </c>
    </row>
    <row r="26" customFormat="false" ht="15" hidden="false" customHeight="true" outlineLevel="0" collapsed="false">
      <c r="A26" s="105" t="s">
        <v>235</v>
      </c>
      <c r="B26" s="105"/>
      <c r="C26" s="105"/>
      <c r="D26" s="105"/>
      <c r="E26" s="105"/>
      <c r="F26" s="105"/>
      <c r="G26" s="105"/>
      <c r="H26" s="105"/>
      <c r="I26" s="105"/>
    </row>
    <row r="27" customFormat="false" ht="15" hidden="false" customHeight="true" outlineLevel="0" collapsed="false">
      <c r="A27" s="119" t="s">
        <v>236</v>
      </c>
      <c r="B27" s="110" t="n">
        <f aca="false">MAX(B7:B24)</f>
        <v>13773810</v>
      </c>
    </row>
    <row r="28" customFormat="false" ht="15" hidden="false" customHeight="true" outlineLevel="0" collapsed="false">
      <c r="A28" s="119" t="s">
        <v>237</v>
      </c>
      <c r="B28" s="110" t="n">
        <f aca="false">B24</f>
        <v>12040218</v>
      </c>
    </row>
    <row r="29" customFormat="false" ht="15" hidden="false" customHeight="true" outlineLevel="0" collapsed="false">
      <c r="A29" s="119" t="s">
        <v>238</v>
      </c>
      <c r="B29" s="111" t="n">
        <f aca="false">B24-MAX(B7:B24)</f>
        <v>-1733592</v>
      </c>
    </row>
    <row r="30" customFormat="false" ht="15" hidden="false" customHeight="true" outlineLevel="0" collapsed="false">
      <c r="A30" s="119" t="s">
        <v>239</v>
      </c>
      <c r="B30" s="112" t="n">
        <f aca="false">(B24-MAX(B7:B24))/MAX(B7:B24)</f>
        <v>-0.125861471880329</v>
      </c>
    </row>
    <row r="31" customFormat="false" ht="15" hidden="false" customHeight="true" outlineLevel="0" collapsed="false">
      <c r="A31" s="119" t="s">
        <v>240</v>
      </c>
      <c r="B31" s="110" t="n">
        <f aca="false">D24</f>
        <v>19205128.24</v>
      </c>
    </row>
    <row r="32" customFormat="false" ht="15" hidden="false" customHeight="true" outlineLevel="0" collapsed="false">
      <c r="A32" s="119" t="s">
        <v>241</v>
      </c>
      <c r="B32" s="111" t="n">
        <f aca="false">F24</f>
        <v>-42197468.65</v>
      </c>
    </row>
    <row r="33" customFormat="false" ht="15" hidden="false" customHeight="true" outlineLevel="0" collapsed="false">
      <c r="A33" s="119" t="s">
        <v>242</v>
      </c>
      <c r="B33" s="111" t="n">
        <f aca="false">SUM(E7:E24)</f>
        <v>-42197468.65</v>
      </c>
    </row>
    <row r="34" customFormat="false" ht="15" hidden="false" customHeight="true" outlineLevel="0" collapsed="false">
      <c r="A34" s="119" t="s">
        <v>243</v>
      </c>
      <c r="B34" s="112" t="n">
        <f aca="false">G7</f>
        <v>0.367671542126339</v>
      </c>
    </row>
    <row r="35" customFormat="false" ht="15" hidden="false" customHeight="true" outlineLevel="0" collapsed="false">
      <c r="A35" s="119" t="s">
        <v>244</v>
      </c>
      <c r="B35" s="112" t="n">
        <f aca="false">G24</f>
        <v>0.264039868421053</v>
      </c>
    </row>
    <row r="36" customFormat="false" ht="15" hidden="false" customHeight="true" outlineLevel="0" collapsed="false">
      <c r="A36" s="119" t="s">
        <v>245</v>
      </c>
      <c r="B36" s="120" t="n">
        <f aca="false">G24-G7</f>
        <v>-0.103631673705286</v>
      </c>
    </row>
    <row r="37" customFormat="false" ht="15" hidden="false" customHeight="true" outlineLevel="0" collapsed="false">
      <c r="A37" s="119" t="s">
        <v>246</v>
      </c>
      <c r="B37" s="121" t="n">
        <f aca="false">COUNTIF(B7:B24,B24)</f>
        <v>5</v>
      </c>
    </row>
    <row r="39" customFormat="false" ht="15" hidden="false" customHeight="true" outlineLevel="0" collapsed="false">
      <c r="A39" s="105" t="s">
        <v>247</v>
      </c>
      <c r="B39" s="105"/>
      <c r="C39" s="105"/>
      <c r="D39" s="105"/>
      <c r="E39" s="105"/>
      <c r="F39" s="105"/>
      <c r="G39" s="105"/>
      <c r="H39" s="105"/>
      <c r="I39" s="105"/>
    </row>
    <row r="40" customFormat="false" ht="26.25" hidden="false" customHeight="true" outlineLevel="0" collapsed="false">
      <c r="A40" s="122" t="s">
        <v>1</v>
      </c>
      <c r="B40" s="122" t="s">
        <v>227</v>
      </c>
      <c r="C40" s="122" t="s">
        <v>248</v>
      </c>
      <c r="D40" s="122" t="s">
        <v>249</v>
      </c>
      <c r="E40" s="122" t="s">
        <v>250</v>
      </c>
      <c r="F40" s="122" t="s">
        <v>251</v>
      </c>
      <c r="G40" s="122" t="s">
        <v>252</v>
      </c>
    </row>
    <row r="41" customFormat="false" ht="15" hidden="false" customHeight="true" outlineLevel="0" collapsed="false">
      <c r="A41" s="107" t="s">
        <v>18</v>
      </c>
      <c r="B41" s="123" t="n">
        <f aca="false">B13</f>
        <v>13773810</v>
      </c>
      <c r="C41" s="110" t="n">
        <f aca="false">B13</f>
        <v>13773810</v>
      </c>
      <c r="D41" s="124" t="n">
        <f aca="false">C13/C13</f>
        <v>1</v>
      </c>
      <c r="E41" s="110" t="n">
        <f aca="false">C41*D41</f>
        <v>13773810</v>
      </c>
      <c r="F41" s="111" t="n">
        <f aca="false">B41-E41</f>
        <v>0</v>
      </c>
      <c r="G41" s="111" t="n">
        <f aca="false">F41</f>
        <v>0</v>
      </c>
    </row>
    <row r="42" customFormat="false" ht="15" hidden="false" customHeight="true" outlineLevel="0" collapsed="false">
      <c r="A42" s="113" t="s">
        <v>19</v>
      </c>
      <c r="B42" s="125" t="n">
        <f aca="false">B14</f>
        <v>13761528</v>
      </c>
      <c r="C42" s="116" t="n">
        <f aca="false">B13</f>
        <v>13773810</v>
      </c>
      <c r="D42" s="126" t="n">
        <f aca="false">C14/C13</f>
        <v>1.00090909090909</v>
      </c>
      <c r="E42" s="116" t="n">
        <f aca="false">C42*D42</f>
        <v>13786331.6454545</v>
      </c>
      <c r="F42" s="117" t="n">
        <f aca="false">B42-E42</f>
        <v>-24803.6454545427</v>
      </c>
      <c r="G42" s="117" t="n">
        <f aca="false">G41+F42</f>
        <v>-24803.6454545427</v>
      </c>
    </row>
    <row r="43" customFormat="false" ht="15" hidden="false" customHeight="true" outlineLevel="0" collapsed="false">
      <c r="A43" s="107" t="s">
        <v>20</v>
      </c>
      <c r="B43" s="123" t="n">
        <f aca="false">B15</f>
        <v>13761528</v>
      </c>
      <c r="C43" s="110" t="n">
        <f aca="false">B13</f>
        <v>13773810</v>
      </c>
      <c r="D43" s="124" t="n">
        <f aca="false">C15/C13</f>
        <v>1.01363636363636</v>
      </c>
      <c r="E43" s="110" t="n">
        <f aca="false">C43*D43</f>
        <v>13961634.6818182</v>
      </c>
      <c r="F43" s="111" t="n">
        <f aca="false">B43-E43</f>
        <v>-200106.681818182</v>
      </c>
      <c r="G43" s="111" t="n">
        <f aca="false">G42+F43</f>
        <v>-224910.327272724</v>
      </c>
    </row>
    <row r="44" customFormat="false" ht="15" hidden="false" customHeight="true" outlineLevel="0" collapsed="false">
      <c r="A44" s="113" t="s">
        <v>21</v>
      </c>
      <c r="B44" s="125" t="n">
        <f aca="false">B16</f>
        <v>13591055</v>
      </c>
      <c r="C44" s="116" t="n">
        <f aca="false">B13</f>
        <v>13773810</v>
      </c>
      <c r="D44" s="126" t="n">
        <f aca="false">C16/C13</f>
        <v>1.03454545454545</v>
      </c>
      <c r="E44" s="116" t="n">
        <f aca="false">C44*D44</f>
        <v>14249632.5272727</v>
      </c>
      <c r="F44" s="117" t="n">
        <f aca="false">B44-E44</f>
        <v>-658577.527272726</v>
      </c>
      <c r="G44" s="117" t="n">
        <f aca="false">G43+F44</f>
        <v>-883487.85454545</v>
      </c>
    </row>
    <row r="45" customFormat="false" ht="15" hidden="false" customHeight="true" outlineLevel="0" collapsed="false">
      <c r="A45" s="107" t="s">
        <v>22</v>
      </c>
      <c r="B45" s="123" t="n">
        <f aca="false">B17</f>
        <v>13503310</v>
      </c>
      <c r="C45" s="110" t="n">
        <f aca="false">B13</f>
        <v>13773810</v>
      </c>
      <c r="D45" s="124" t="n">
        <f aca="false">C17/C13</f>
        <v>1.06</v>
      </c>
      <c r="E45" s="110" t="n">
        <f aca="false">C45*D45</f>
        <v>14600238.6</v>
      </c>
      <c r="F45" s="111" t="n">
        <f aca="false">B45-E45</f>
        <v>-1096928.6</v>
      </c>
      <c r="G45" s="111" t="n">
        <f aca="false">G44+F45</f>
        <v>-1980416.45454545</v>
      </c>
    </row>
    <row r="46" customFormat="false" ht="15" hidden="false" customHeight="true" outlineLevel="0" collapsed="false">
      <c r="A46" s="113" t="s">
        <v>23</v>
      </c>
      <c r="B46" s="125" t="n">
        <f aca="false">B18</f>
        <v>12670601</v>
      </c>
      <c r="C46" s="116" t="n">
        <f aca="false">B13</f>
        <v>13773810</v>
      </c>
      <c r="D46" s="126" t="n">
        <f aca="false">C18/C13</f>
        <v>1.07909090909091</v>
      </c>
      <c r="E46" s="116" t="n">
        <f aca="false">C46*D46</f>
        <v>14863193.1545455</v>
      </c>
      <c r="F46" s="117" t="n">
        <f aca="false">B46-E46</f>
        <v>-2192592.15454545</v>
      </c>
      <c r="G46" s="117" t="n">
        <f aca="false">G45+F46</f>
        <v>-4173008.60909091</v>
      </c>
    </row>
    <row r="47" customFormat="false" ht="15" hidden="false" customHeight="true" outlineLevel="0" collapsed="false">
      <c r="A47" s="107" t="s">
        <v>24</v>
      </c>
      <c r="B47" s="123" t="n">
        <f aca="false">B19</f>
        <v>12359179</v>
      </c>
      <c r="C47" s="110" t="n">
        <f aca="false">B13</f>
        <v>13773810</v>
      </c>
      <c r="D47" s="124" t="n">
        <f aca="false">C19/C13</f>
        <v>1.09272727272727</v>
      </c>
      <c r="E47" s="110" t="n">
        <f aca="false">C47*D47</f>
        <v>15051017.8363636</v>
      </c>
      <c r="F47" s="111" t="n">
        <f aca="false">B47-E47</f>
        <v>-2691838.83636364</v>
      </c>
      <c r="G47" s="111" t="n">
        <f aca="false">G46+F47</f>
        <v>-6864847.44545454</v>
      </c>
    </row>
    <row r="48" customFormat="false" ht="15" hidden="false" customHeight="true" outlineLevel="0" collapsed="false">
      <c r="A48" s="113" t="s">
        <v>25</v>
      </c>
      <c r="B48" s="125" t="n">
        <f aca="false">B20</f>
        <v>12040218</v>
      </c>
      <c r="C48" s="116" t="n">
        <f aca="false">B13</f>
        <v>13773810</v>
      </c>
      <c r="D48" s="126" t="n">
        <f aca="false">C20/C13</f>
        <v>1.14454545454545</v>
      </c>
      <c r="E48" s="116" t="n">
        <f aca="false">C48*D48</f>
        <v>15764751.6272727</v>
      </c>
      <c r="F48" s="117" t="n">
        <f aca="false">B48-E48</f>
        <v>-3724533.62727273</v>
      </c>
      <c r="G48" s="117" t="n">
        <f aca="false">G47+F48</f>
        <v>-10589381.0727273</v>
      </c>
    </row>
    <row r="49" customFormat="false" ht="15" hidden="false" customHeight="true" outlineLevel="0" collapsed="false">
      <c r="A49" s="107" t="s">
        <v>26</v>
      </c>
      <c r="B49" s="123" t="n">
        <f aca="false">B21</f>
        <v>12040218</v>
      </c>
      <c r="C49" s="110" t="n">
        <f aca="false">B13</f>
        <v>13773810</v>
      </c>
      <c r="D49" s="124" t="n">
        <f aca="false">C21/C13</f>
        <v>1.23545454545455</v>
      </c>
      <c r="E49" s="110" t="n">
        <f aca="false">C49*D49</f>
        <v>17016916.1727273</v>
      </c>
      <c r="F49" s="111" t="n">
        <f aca="false">B49-E49</f>
        <v>-4976698.17272728</v>
      </c>
      <c r="G49" s="111" t="n">
        <f aca="false">G48+F49</f>
        <v>-15566079.2454545</v>
      </c>
    </row>
    <row r="50" customFormat="false" ht="15" hidden="false" customHeight="true" outlineLevel="0" collapsed="false">
      <c r="A50" s="113" t="s">
        <v>27</v>
      </c>
      <c r="B50" s="125" t="n">
        <f aca="false">B22</f>
        <v>12040218</v>
      </c>
      <c r="C50" s="116" t="n">
        <f aca="false">B13</f>
        <v>13773810</v>
      </c>
      <c r="D50" s="126" t="n">
        <f aca="false">C22/C13</f>
        <v>1.28636363636364</v>
      </c>
      <c r="E50" s="116" t="n">
        <f aca="false">C50*D50</f>
        <v>17718128.3181818</v>
      </c>
      <c r="F50" s="117" t="n">
        <f aca="false">B50-E50</f>
        <v>-5677910.31818182</v>
      </c>
      <c r="G50" s="117" t="n">
        <f aca="false">G49+F50</f>
        <v>-21243989.5636364</v>
      </c>
    </row>
    <row r="51" customFormat="false" ht="15" hidden="false" customHeight="true" outlineLevel="0" collapsed="false">
      <c r="A51" s="107" t="s">
        <v>28</v>
      </c>
      <c r="B51" s="123" t="n">
        <f aca="false">B23</f>
        <v>12040218</v>
      </c>
      <c r="C51" s="110" t="n">
        <f aca="false">B13</f>
        <v>13773810</v>
      </c>
      <c r="D51" s="124" t="n">
        <f aca="false">C23/C13</f>
        <v>1.31909090909091</v>
      </c>
      <c r="E51" s="110" t="n">
        <f aca="false">C51*D51</f>
        <v>18168907.5545455</v>
      </c>
      <c r="F51" s="111" t="n">
        <f aca="false">B51-E51</f>
        <v>-6128689.55454546</v>
      </c>
      <c r="G51" s="111" t="n">
        <f aca="false">G50+F51</f>
        <v>-27372679.1181818</v>
      </c>
    </row>
    <row r="52" customFormat="false" ht="15" hidden="false" customHeight="true" outlineLevel="0" collapsed="false">
      <c r="A52" s="113" t="s">
        <v>30</v>
      </c>
      <c r="B52" s="125" t="n">
        <f aca="false">B24</f>
        <v>12040218</v>
      </c>
      <c r="C52" s="116" t="n">
        <f aca="false">B13</f>
        <v>13773810</v>
      </c>
      <c r="D52" s="126" t="n">
        <f aca="false">C24/C13</f>
        <v>1.34545454545455</v>
      </c>
      <c r="E52" s="116" t="n">
        <f aca="false">C52*D52</f>
        <v>18532035.2727273</v>
      </c>
      <c r="F52" s="117" t="n">
        <f aca="false">B52-E52</f>
        <v>-6491817.27272727</v>
      </c>
      <c r="G52" s="117" t="n">
        <f aca="false">G51+F52</f>
        <v>-33864496.3909091</v>
      </c>
    </row>
    <row r="53" customFormat="false" ht="15" hidden="false" customHeight="true" outlineLevel="0" collapsed="false">
      <c r="A53" s="127" t="s">
        <v>253</v>
      </c>
      <c r="B53" s="128"/>
      <c r="C53" s="128"/>
      <c r="D53" s="128"/>
      <c r="E53" s="128"/>
      <c r="F53" s="129" t="n">
        <f aca="false">SUM(F41:F52)</f>
        <v>-33864496.3909091</v>
      </c>
      <c r="G53" s="129" t="n">
        <f aca="false">G52</f>
        <v>-33864496.3909091</v>
      </c>
    </row>
    <row r="55" customFormat="false" ht="15" hidden="false" customHeight="true" outlineLevel="0" collapsed="false">
      <c r="A55" s="130" t="s">
        <v>254</v>
      </c>
    </row>
    <row r="56" customFormat="false" ht="15" hidden="false" customHeight="true" outlineLevel="0" collapsed="false">
      <c r="A56" s="131" t="s">
        <v>255</v>
      </c>
    </row>
    <row r="57" customFormat="false" ht="15" hidden="false" customHeight="true" outlineLevel="0" collapsed="false">
      <c r="A57" s="131" t="s">
        <v>256</v>
      </c>
    </row>
    <row r="58" customFormat="false" ht="15" hidden="false" customHeight="true" outlineLevel="0" collapsed="false">
      <c r="A58" s="131" t="s">
        <v>257</v>
      </c>
    </row>
    <row r="59" customFormat="false" ht="15" hidden="false" customHeight="true" outlineLevel="0" collapsed="false">
      <c r="A59" s="131" t="s">
        <v>258</v>
      </c>
    </row>
    <row r="60" customFormat="false" ht="15" hidden="false" customHeight="true" outlineLevel="0" collapsed="false">
      <c r="A60" s="131" t="s">
        <v>259</v>
      </c>
    </row>
  </sheetData>
  <mergeCells count="3">
    <mergeCell ref="A5:I5"/>
    <mergeCell ref="A26:I26"/>
    <mergeCell ref="A39:I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0" min="1" style="1" width="14"/>
    <col collapsed="false" customWidth="true" hidden="false" outlineLevel="0" max="12" min="11" style="1" width="18"/>
    <col collapsed="false" customWidth="true" hidden="false" outlineLevel="0" max="13" min="13" style="1" width="42"/>
  </cols>
  <sheetData>
    <row r="1" customFormat="false" ht="17.25" hidden="false" customHeight="true" outlineLevel="0" collapsed="false">
      <c r="A1" s="102" t="s">
        <v>260</v>
      </c>
    </row>
    <row r="2" customFormat="false" ht="15" hidden="false" customHeight="true" outlineLevel="0" collapsed="false">
      <c r="A2" s="132" t="s">
        <v>261</v>
      </c>
    </row>
    <row r="3" customFormat="false" ht="15" hidden="false" customHeight="true" outlineLevel="0" collapsed="false">
      <c r="A3" s="133" t="s">
        <v>262</v>
      </c>
    </row>
    <row r="5" customFormat="false" ht="15" hidden="false" customHeight="true" outlineLevel="0" collapsed="false">
      <c r="A5" s="105" t="s">
        <v>263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</row>
    <row r="6" customFormat="false" ht="51.75" hidden="false" customHeight="true" outlineLevel="0" collapsed="false">
      <c r="A6" s="106" t="s">
        <v>1</v>
      </c>
      <c r="B6" s="106" t="s">
        <v>264</v>
      </c>
      <c r="C6" s="106" t="s">
        <v>265</v>
      </c>
      <c r="D6" s="106" t="s">
        <v>266</v>
      </c>
      <c r="E6" s="106" t="s">
        <v>267</v>
      </c>
      <c r="F6" s="106" t="s">
        <v>268</v>
      </c>
      <c r="G6" s="106" t="s">
        <v>269</v>
      </c>
      <c r="H6" s="106" t="s">
        <v>270</v>
      </c>
      <c r="I6" s="106" t="s">
        <v>271</v>
      </c>
      <c r="J6" s="106" t="s">
        <v>272</v>
      </c>
      <c r="K6" s="106" t="s">
        <v>3</v>
      </c>
      <c r="L6" s="106" t="s">
        <v>273</v>
      </c>
      <c r="M6" s="106" t="s">
        <v>274</v>
      </c>
    </row>
    <row r="7" customFormat="false" ht="15" hidden="false" customHeight="true" outlineLevel="0" collapsed="false">
      <c r="A7" s="107" t="s">
        <v>13</v>
      </c>
      <c r="B7" s="134" t="n">
        <v>3267</v>
      </c>
      <c r="C7" s="109" t="n">
        <v>237</v>
      </c>
      <c r="D7" s="109" t="n">
        <v>14</v>
      </c>
      <c r="E7" s="135" t="n">
        <f aca="false">B7/C7</f>
        <v>13.7848101265823</v>
      </c>
      <c r="F7" s="135" t="n">
        <f aca="false">B7/D7</f>
        <v>233.357142857143</v>
      </c>
      <c r="G7" s="135" t="n">
        <f aca="false">D7/C7*100</f>
        <v>5.90717299578059</v>
      </c>
      <c r="H7" s="108" t="n">
        <v>64500</v>
      </c>
      <c r="I7" s="108" t="n">
        <v>95000</v>
      </c>
      <c r="J7" s="136" t="n">
        <f aca="false">I7/H7</f>
        <v>1.47286821705426</v>
      </c>
      <c r="K7" s="108" t="n">
        <v>36316076</v>
      </c>
      <c r="L7" s="110" t="n">
        <f aca="false">K7/B7</f>
        <v>11116.0318334864</v>
      </c>
      <c r="M7" s="112" t="n">
        <f aca="false">D7/C7</f>
        <v>0.0590717299578059</v>
      </c>
    </row>
    <row r="8" customFormat="false" ht="15" hidden="false" customHeight="true" outlineLevel="0" collapsed="false">
      <c r="A8" s="113" t="s">
        <v>14</v>
      </c>
      <c r="B8" s="137" t="n">
        <v>3265</v>
      </c>
      <c r="C8" s="115" t="n">
        <v>235</v>
      </c>
      <c r="D8" s="115" t="n">
        <v>14</v>
      </c>
      <c r="E8" s="138" t="n">
        <f aca="false">B8/C8</f>
        <v>13.8936170212766</v>
      </c>
      <c r="F8" s="138" t="n">
        <f aca="false">B8/D8</f>
        <v>233.214285714286</v>
      </c>
      <c r="G8" s="138" t="n">
        <f aca="false">D8/C8*100</f>
        <v>5.95744680851064</v>
      </c>
      <c r="H8" s="114" t="n">
        <v>65500</v>
      </c>
      <c r="I8" s="114" t="n">
        <v>97000</v>
      </c>
      <c r="J8" s="139" t="n">
        <f aca="false">I8/H8</f>
        <v>1.48091603053435</v>
      </c>
      <c r="K8" s="114" t="n">
        <v>36851919</v>
      </c>
      <c r="L8" s="116" t="n">
        <f aca="false">K8/B8</f>
        <v>11286.9583460949</v>
      </c>
      <c r="M8" s="118" t="n">
        <f aca="false">D8/C8</f>
        <v>0.0595744680851064</v>
      </c>
    </row>
    <row r="9" customFormat="false" ht="15" hidden="false" customHeight="true" outlineLevel="0" collapsed="false">
      <c r="A9" s="107" t="s">
        <v>15</v>
      </c>
      <c r="B9" s="134" t="n">
        <v>3223</v>
      </c>
      <c r="C9" s="109" t="n">
        <v>230</v>
      </c>
      <c r="D9" s="109" t="n">
        <v>13.5</v>
      </c>
      <c r="E9" s="135" t="n">
        <f aca="false">B9/C9</f>
        <v>14.0130434782609</v>
      </c>
      <c r="F9" s="135" t="n">
        <f aca="false">B9/D9</f>
        <v>238.740740740741</v>
      </c>
      <c r="G9" s="135" t="n">
        <f aca="false">D9/C9*100</f>
        <v>5.86956521739131</v>
      </c>
      <c r="H9" s="108" t="n">
        <v>66500</v>
      </c>
      <c r="I9" s="108" t="n">
        <v>98000</v>
      </c>
      <c r="J9" s="136" t="n">
        <f aca="false">I9/H9</f>
        <v>1.47368421052632</v>
      </c>
      <c r="K9" s="108" t="n">
        <v>36631261</v>
      </c>
      <c r="L9" s="110" t="n">
        <f aca="false">K9/B9</f>
        <v>11365.5789636984</v>
      </c>
      <c r="M9" s="112" t="n">
        <f aca="false">D9/C9</f>
        <v>0.058695652173913</v>
      </c>
    </row>
    <row r="10" customFormat="false" ht="15" hidden="false" customHeight="true" outlineLevel="0" collapsed="false">
      <c r="A10" s="113" t="s">
        <v>16</v>
      </c>
      <c r="B10" s="137" t="n">
        <v>3210</v>
      </c>
      <c r="C10" s="115" t="n">
        <v>228</v>
      </c>
      <c r="D10" s="115" t="n">
        <v>13.5</v>
      </c>
      <c r="E10" s="138" t="n">
        <f aca="false">B10/C10</f>
        <v>14.0789473684211</v>
      </c>
      <c r="F10" s="138" t="n">
        <f aca="false">B10/D10</f>
        <v>237.777777777778</v>
      </c>
      <c r="G10" s="138" t="n">
        <f aca="false">D10/C10*100</f>
        <v>5.92105263157895</v>
      </c>
      <c r="H10" s="114" t="n">
        <v>67500</v>
      </c>
      <c r="I10" s="114" t="n">
        <v>100000</v>
      </c>
      <c r="J10" s="139" t="n">
        <f aca="false">I10/H10</f>
        <v>1.48148148148148</v>
      </c>
      <c r="K10" s="114" t="n">
        <v>36829159</v>
      </c>
      <c r="L10" s="116" t="n">
        <f aca="false">K10/B10</f>
        <v>11473.2582554517</v>
      </c>
      <c r="M10" s="118" t="n">
        <f aca="false">D10/C10</f>
        <v>0.0592105263157895</v>
      </c>
    </row>
    <row r="11" customFormat="false" ht="15" hidden="false" customHeight="true" outlineLevel="0" collapsed="false">
      <c r="A11" s="107" t="s">
        <v>17</v>
      </c>
      <c r="B11" s="134" t="n">
        <v>3150</v>
      </c>
      <c r="C11" s="109" t="n">
        <v>222</v>
      </c>
      <c r="D11" s="109" t="n">
        <v>13</v>
      </c>
      <c r="E11" s="135" t="n">
        <f aca="false">B11/C11</f>
        <v>14.1891891891892</v>
      </c>
      <c r="F11" s="135" t="n">
        <f aca="false">B11/D11</f>
        <v>242.307692307692</v>
      </c>
      <c r="G11" s="135" t="n">
        <f aca="false">D11/C11*100</f>
        <v>5.85585585585586</v>
      </c>
      <c r="H11" s="108" t="n">
        <v>68500</v>
      </c>
      <c r="I11" s="108" t="n">
        <v>102000</v>
      </c>
      <c r="J11" s="136" t="n">
        <f aca="false">I11/H11</f>
        <v>1.48905109489051</v>
      </c>
      <c r="K11" s="108" t="n">
        <v>37529524</v>
      </c>
      <c r="L11" s="110" t="n">
        <f aca="false">K11/B11</f>
        <v>11914.1346031746</v>
      </c>
      <c r="M11" s="112" t="n">
        <f aca="false">D11/C11</f>
        <v>0.0585585585585586</v>
      </c>
    </row>
    <row r="12" customFormat="false" ht="15" hidden="false" customHeight="true" outlineLevel="0" collapsed="false">
      <c r="A12" s="113" t="s">
        <v>18</v>
      </c>
      <c r="B12" s="137" t="n">
        <v>3100</v>
      </c>
      <c r="C12" s="115" t="n">
        <v>218</v>
      </c>
      <c r="D12" s="115" t="n">
        <v>13</v>
      </c>
      <c r="E12" s="138" t="n">
        <f aca="false">B12/C12</f>
        <v>14.2201834862385</v>
      </c>
      <c r="F12" s="138" t="n">
        <f aca="false">B12/D12</f>
        <v>238.461538461538</v>
      </c>
      <c r="G12" s="138" t="n">
        <f aca="false">D12/C12*100</f>
        <v>5.96330275229358</v>
      </c>
      <c r="H12" s="114" t="n">
        <v>70000</v>
      </c>
      <c r="I12" s="114" t="n">
        <v>104000</v>
      </c>
      <c r="J12" s="139" t="n">
        <f aca="false">I12/H12</f>
        <v>1.48571428571429</v>
      </c>
      <c r="K12" s="114" t="n">
        <v>39074698</v>
      </c>
      <c r="L12" s="116" t="n">
        <f aca="false">K12/B12</f>
        <v>12604.7412903226</v>
      </c>
      <c r="M12" s="118" t="n">
        <f aca="false">D12/C12</f>
        <v>0.0596330275229358</v>
      </c>
    </row>
    <row r="13" customFormat="false" ht="15" hidden="false" customHeight="true" outlineLevel="0" collapsed="false">
      <c r="A13" s="107" t="s">
        <v>19</v>
      </c>
      <c r="B13" s="134" t="n">
        <v>2975</v>
      </c>
      <c r="C13" s="109" t="n">
        <v>213</v>
      </c>
      <c r="D13" s="109" t="n">
        <v>13</v>
      </c>
      <c r="E13" s="135" t="n">
        <f aca="false">B13/C13</f>
        <v>13.9671361502347</v>
      </c>
      <c r="F13" s="135" t="n">
        <f aca="false">B13/D13</f>
        <v>228.846153846154</v>
      </c>
      <c r="G13" s="135" t="n">
        <f aca="false">D13/C13*100</f>
        <v>6.10328638497653</v>
      </c>
      <c r="H13" s="108" t="n">
        <v>71500</v>
      </c>
      <c r="I13" s="108" t="n">
        <v>106000</v>
      </c>
      <c r="J13" s="136" t="n">
        <f aca="false">I13/H13</f>
        <v>1.48251748251748</v>
      </c>
      <c r="K13" s="108" t="n">
        <v>39650662</v>
      </c>
      <c r="L13" s="110" t="n">
        <f aca="false">K13/B13</f>
        <v>13327.9536134454</v>
      </c>
      <c r="M13" s="112" t="n">
        <f aca="false">D13/C13</f>
        <v>0.0610328638497653</v>
      </c>
    </row>
    <row r="14" customFormat="false" ht="15" hidden="false" customHeight="true" outlineLevel="0" collapsed="false">
      <c r="A14" s="113" t="s">
        <v>20</v>
      </c>
      <c r="B14" s="137" t="n">
        <v>2850</v>
      </c>
      <c r="C14" s="115" t="n">
        <v>208</v>
      </c>
      <c r="D14" s="115" t="n">
        <v>13</v>
      </c>
      <c r="E14" s="138" t="n">
        <f aca="false">B14/C14</f>
        <v>13.7019230769231</v>
      </c>
      <c r="F14" s="138" t="n">
        <f aca="false">B14/D14</f>
        <v>219.230769230769</v>
      </c>
      <c r="G14" s="138" t="n">
        <f aca="false">D14/C14*100</f>
        <v>6.25</v>
      </c>
      <c r="H14" s="114" t="n">
        <v>73000</v>
      </c>
      <c r="I14" s="114" t="n">
        <v>108000</v>
      </c>
      <c r="J14" s="139" t="n">
        <f aca="false">I14/H14</f>
        <v>1.47945205479452</v>
      </c>
      <c r="K14" s="114" t="n">
        <v>39805000</v>
      </c>
      <c r="L14" s="116" t="n">
        <f aca="false">K14/B14</f>
        <v>13966.6666666667</v>
      </c>
      <c r="M14" s="118" t="n">
        <f aca="false">D14/C14</f>
        <v>0.0625</v>
      </c>
    </row>
    <row r="15" customFormat="false" ht="15" hidden="false" customHeight="true" outlineLevel="0" collapsed="false">
      <c r="A15" s="107" t="s">
        <v>21</v>
      </c>
      <c r="B15" s="134" t="n">
        <v>2727</v>
      </c>
      <c r="C15" s="109" t="n">
        <v>201</v>
      </c>
      <c r="D15" s="109" t="n">
        <v>13</v>
      </c>
      <c r="E15" s="135" t="n">
        <f aca="false">B15/C15</f>
        <v>13.5671641791045</v>
      </c>
      <c r="F15" s="135" t="n">
        <f aca="false">B15/D15</f>
        <v>209.769230769231</v>
      </c>
      <c r="G15" s="135" t="n">
        <f aca="false">D15/C15*100</f>
        <v>6.46766169154229</v>
      </c>
      <c r="H15" s="108" t="n">
        <v>74500</v>
      </c>
      <c r="I15" s="108" t="n">
        <v>110000</v>
      </c>
      <c r="J15" s="136" t="n">
        <f aca="false">I15/H15</f>
        <v>1.47651006711409</v>
      </c>
      <c r="K15" s="108" t="n">
        <v>39704000</v>
      </c>
      <c r="L15" s="110" t="n">
        <f aca="false">K15/B15</f>
        <v>14559.5892922626</v>
      </c>
      <c r="M15" s="112" t="n">
        <f aca="false">D15/C15</f>
        <v>0.0646766169154229</v>
      </c>
    </row>
    <row r="16" customFormat="false" ht="15" hidden="false" customHeight="true" outlineLevel="0" collapsed="false">
      <c r="A16" s="113" t="s">
        <v>22</v>
      </c>
      <c r="B16" s="137" t="n">
        <v>2488</v>
      </c>
      <c r="C16" s="115" t="n">
        <v>195</v>
      </c>
      <c r="D16" s="115" t="n">
        <v>13.5</v>
      </c>
      <c r="E16" s="138" t="n">
        <f aca="false">B16/C16</f>
        <v>12.7589743589744</v>
      </c>
      <c r="F16" s="138" t="n">
        <f aca="false">B16/D16</f>
        <v>184.296296296296</v>
      </c>
      <c r="G16" s="138" t="n">
        <f aca="false">D16/C16*100</f>
        <v>6.92307692307692</v>
      </c>
      <c r="H16" s="114" t="n">
        <v>76000</v>
      </c>
      <c r="I16" s="114" t="n">
        <v>112000</v>
      </c>
      <c r="J16" s="139" t="n">
        <f aca="false">I16/H16</f>
        <v>1.47368421052632</v>
      </c>
      <c r="K16" s="114" t="n">
        <v>40633000</v>
      </c>
      <c r="L16" s="116" t="n">
        <f aca="false">K16/B16</f>
        <v>16331.5916398714</v>
      </c>
      <c r="M16" s="118" t="n">
        <f aca="false">D16/C16</f>
        <v>0.0692307692307692</v>
      </c>
    </row>
    <row r="17" customFormat="false" ht="15" hidden="false" customHeight="true" outlineLevel="0" collapsed="false">
      <c r="A17" s="107" t="s">
        <v>23</v>
      </c>
      <c r="B17" s="134" t="n">
        <v>2488</v>
      </c>
      <c r="C17" s="109" t="n">
        <v>192</v>
      </c>
      <c r="D17" s="109" t="n">
        <v>13.5</v>
      </c>
      <c r="E17" s="135" t="n">
        <f aca="false">B17/C17</f>
        <v>12.9583333333333</v>
      </c>
      <c r="F17" s="135" t="n">
        <f aca="false">B17/D17</f>
        <v>184.296296296296</v>
      </c>
      <c r="G17" s="135" t="n">
        <f aca="false">D17/C17*100</f>
        <v>7.03125</v>
      </c>
      <c r="H17" s="108" t="n">
        <v>78804</v>
      </c>
      <c r="I17" s="108" t="n">
        <v>115000</v>
      </c>
      <c r="J17" s="136" t="n">
        <f aca="false">I17/H17</f>
        <v>1.45931678594995</v>
      </c>
      <c r="K17" s="108" t="n">
        <v>40542000</v>
      </c>
      <c r="L17" s="110" t="n">
        <f aca="false">K17/B17</f>
        <v>16295.0160771704</v>
      </c>
      <c r="M17" s="112" t="n">
        <f aca="false">D17/C17</f>
        <v>0.0703125</v>
      </c>
    </row>
    <row r="18" customFormat="false" ht="15" hidden="false" customHeight="true" outlineLevel="0" collapsed="false">
      <c r="A18" s="113" t="s">
        <v>24</v>
      </c>
      <c r="B18" s="137" t="n">
        <v>2452</v>
      </c>
      <c r="C18" s="115" t="n">
        <v>189.2</v>
      </c>
      <c r="D18" s="115" t="n">
        <v>13.6</v>
      </c>
      <c r="E18" s="138" t="n">
        <f aca="false">B18/C18</f>
        <v>12.9598308668076</v>
      </c>
      <c r="F18" s="138" t="n">
        <f aca="false">B18/D18</f>
        <v>180.294117647059</v>
      </c>
      <c r="G18" s="138" t="n">
        <f aca="false">D18/C18*100</f>
        <v>7.18816067653277</v>
      </c>
      <c r="H18" s="114" t="n">
        <v>79500</v>
      </c>
      <c r="I18" s="114" t="n">
        <v>117000</v>
      </c>
      <c r="J18" s="139" t="n">
        <f aca="false">I18/H18</f>
        <v>1.47169811320755</v>
      </c>
      <c r="K18" s="114" t="n">
        <v>41236000</v>
      </c>
      <c r="L18" s="116" t="n">
        <f aca="false">K18/B18</f>
        <v>16817.2920065253</v>
      </c>
      <c r="M18" s="118" t="n">
        <f aca="false">D18/C18</f>
        <v>0.0718816067653277</v>
      </c>
    </row>
    <row r="19" customFormat="false" ht="15" hidden="false" customHeight="true" outlineLevel="0" collapsed="false">
      <c r="A19" s="107" t="s">
        <v>25</v>
      </c>
      <c r="B19" s="134" t="n">
        <v>2321</v>
      </c>
      <c r="C19" s="109" t="n">
        <v>190</v>
      </c>
      <c r="D19" s="109" t="n">
        <v>13.5</v>
      </c>
      <c r="E19" s="135" t="n">
        <f aca="false">B19/C19</f>
        <v>12.2157894736842</v>
      </c>
      <c r="F19" s="135" t="n">
        <f aca="false">B19/D19</f>
        <v>171.925925925926</v>
      </c>
      <c r="G19" s="135" t="n">
        <f aca="false">D19/C19*100</f>
        <v>7.10526315789474</v>
      </c>
      <c r="H19" s="108" t="n">
        <v>80500</v>
      </c>
      <c r="I19" s="108" t="n">
        <v>119000</v>
      </c>
      <c r="J19" s="136" t="n">
        <f aca="false">I19/H19</f>
        <v>1.47826086956522</v>
      </c>
      <c r="K19" s="108" t="n">
        <v>41310000</v>
      </c>
      <c r="L19" s="110" t="n">
        <f aca="false">K19/B19</f>
        <v>17798.3627746661</v>
      </c>
      <c r="M19" s="112" t="n">
        <f aca="false">D19/C19</f>
        <v>0.0710526315789474</v>
      </c>
    </row>
    <row r="20" customFormat="false" ht="15" hidden="false" customHeight="true" outlineLevel="0" collapsed="false">
      <c r="A20" s="113" t="s">
        <v>26</v>
      </c>
      <c r="B20" s="137" t="n">
        <v>2321</v>
      </c>
      <c r="C20" s="115" t="n">
        <v>192</v>
      </c>
      <c r="D20" s="115" t="n">
        <v>13.4</v>
      </c>
      <c r="E20" s="138" t="n">
        <f aca="false">B20/C20</f>
        <v>12.0885416666667</v>
      </c>
      <c r="F20" s="138" t="n">
        <f aca="false">B20/D20</f>
        <v>173.208955223881</v>
      </c>
      <c r="G20" s="138" t="n">
        <f aca="false">D20/C20*100</f>
        <v>6.97916666666667</v>
      </c>
      <c r="H20" s="114" t="n">
        <v>81500</v>
      </c>
      <c r="I20" s="114" t="n">
        <v>122000</v>
      </c>
      <c r="J20" s="139" t="n">
        <f aca="false">I20/H20</f>
        <v>1.49693251533742</v>
      </c>
      <c r="K20" s="114" t="n">
        <v>42013000</v>
      </c>
      <c r="L20" s="116" t="n">
        <f aca="false">K20/B20</f>
        <v>18101.249461439</v>
      </c>
      <c r="M20" s="118" t="n">
        <f aca="false">D20/C20</f>
        <v>0.0697916666666667</v>
      </c>
    </row>
    <row r="21" customFormat="false" ht="15" hidden="false" customHeight="true" outlineLevel="0" collapsed="false">
      <c r="A21" s="107" t="s">
        <v>27</v>
      </c>
      <c r="B21" s="134" t="n">
        <v>2235</v>
      </c>
      <c r="C21" s="109" t="n">
        <v>195</v>
      </c>
      <c r="D21" s="109" t="n">
        <v>13.2</v>
      </c>
      <c r="E21" s="135" t="n">
        <f aca="false">B21/C21</f>
        <v>11.4615384615385</v>
      </c>
      <c r="F21" s="135" t="n">
        <f aca="false">B21/D21</f>
        <v>169.318181818182</v>
      </c>
      <c r="G21" s="135" t="n">
        <f aca="false">D21/C21*100</f>
        <v>6.76923076923077</v>
      </c>
      <c r="H21" s="108" t="n">
        <v>82554</v>
      </c>
      <c r="I21" s="108" t="n">
        <v>125000</v>
      </c>
      <c r="J21" s="136" t="n">
        <f aca="false">I21/H21</f>
        <v>1.5141604283257</v>
      </c>
      <c r="K21" s="108" t="n">
        <v>43165000</v>
      </c>
      <c r="L21" s="110" t="n">
        <f aca="false">K21/B21</f>
        <v>19313.1991051454</v>
      </c>
      <c r="M21" s="112" t="n">
        <f aca="false">D21/C21</f>
        <v>0.0676923076923077</v>
      </c>
    </row>
    <row r="22" customFormat="false" ht="15" hidden="false" customHeight="true" outlineLevel="0" collapsed="false">
      <c r="A22" s="113" t="s">
        <v>28</v>
      </c>
      <c r="B22" s="137" t="n">
        <v>2161</v>
      </c>
      <c r="C22" s="115" t="n">
        <v>193.4</v>
      </c>
      <c r="D22" s="115" t="n">
        <v>13</v>
      </c>
      <c r="E22" s="138" t="n">
        <f aca="false">B22/C22</f>
        <v>11.1737331954498</v>
      </c>
      <c r="F22" s="138" t="n">
        <f aca="false">B22/D22</f>
        <v>166.230769230769</v>
      </c>
      <c r="G22" s="138" t="n">
        <f aca="false">D22/C22*100</f>
        <v>6.72182006204757</v>
      </c>
      <c r="H22" s="114" t="n">
        <v>84000</v>
      </c>
      <c r="I22" s="114" t="n">
        <v>128000</v>
      </c>
      <c r="J22" s="139" t="n">
        <f aca="false">I22/H22</f>
        <v>1.52380952380952</v>
      </c>
      <c r="K22" s="114" t="n">
        <v>43979351</v>
      </c>
      <c r="L22" s="116" t="n">
        <f aca="false">K22/B22</f>
        <v>20351.3887089311</v>
      </c>
      <c r="M22" s="118" t="n">
        <f aca="false">D22/C22</f>
        <v>0.0672182006204757</v>
      </c>
    </row>
    <row r="23" customFormat="false" ht="15" hidden="false" customHeight="true" outlineLevel="0" collapsed="false">
      <c r="A23" s="107" t="s">
        <v>30</v>
      </c>
      <c r="B23" s="134" t="n">
        <v>2235</v>
      </c>
      <c r="C23" s="109" t="n">
        <v>191.4</v>
      </c>
      <c r="D23" s="109" t="n">
        <v>12.8</v>
      </c>
      <c r="E23" s="135" t="n">
        <f aca="false">B23/C23</f>
        <v>11.6771159874608</v>
      </c>
      <c r="F23" s="135" t="n">
        <f aca="false">B23/D23</f>
        <v>174.609375</v>
      </c>
      <c r="G23" s="135" t="n">
        <f aca="false">D23/C23*100</f>
        <v>6.68756530825496</v>
      </c>
      <c r="H23" s="108" t="n">
        <v>85500</v>
      </c>
      <c r="I23" s="108" t="n">
        <v>131000</v>
      </c>
      <c r="J23" s="136" t="n">
        <f aca="false">I23/H23</f>
        <v>1.53216374269006</v>
      </c>
      <c r="K23" s="108" t="n">
        <v>45576075</v>
      </c>
      <c r="L23" s="110" t="n">
        <f aca="false">K23/B23</f>
        <v>20391.9798657718</v>
      </c>
      <c r="M23" s="112" t="n">
        <f aca="false">D23/C23</f>
        <v>0.0668756530825496</v>
      </c>
    </row>
    <row r="25" customFormat="false" ht="15" hidden="false" customHeight="true" outlineLevel="0" collapsed="false">
      <c r="A25" s="105" t="s">
        <v>235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</row>
    <row r="26" customFormat="false" ht="15" hidden="false" customHeight="true" outlineLevel="0" collapsed="false">
      <c r="A26" s="119" t="s">
        <v>275</v>
      </c>
      <c r="B26" s="112" t="n">
        <f aca="false">(B23-B7)/B7</f>
        <v>-0.315886134067952</v>
      </c>
    </row>
    <row r="27" customFormat="false" ht="15" hidden="false" customHeight="true" outlineLevel="0" collapsed="false">
      <c r="A27" s="119" t="s">
        <v>276</v>
      </c>
      <c r="B27" s="112" t="n">
        <f aca="false">(C23-C7)/C7</f>
        <v>-0.192405063291139</v>
      </c>
    </row>
    <row r="28" customFormat="false" ht="15" hidden="false" customHeight="true" outlineLevel="0" collapsed="false">
      <c r="A28" s="119" t="s">
        <v>277</v>
      </c>
      <c r="B28" s="112" t="n">
        <f aca="false">(D23-D7)/D7</f>
        <v>-0.0857142857142857</v>
      </c>
    </row>
    <row r="29" customFormat="false" ht="15" hidden="false" customHeight="true" outlineLevel="0" collapsed="false">
      <c r="A29" s="119" t="s">
        <v>278</v>
      </c>
      <c r="B29" s="112" t="n">
        <f aca="false">(H23-H7)/H7</f>
        <v>0.325581395348837</v>
      </c>
    </row>
    <row r="30" customFormat="false" ht="15" hidden="false" customHeight="true" outlineLevel="0" collapsed="false">
      <c r="A30" s="119" t="s">
        <v>279</v>
      </c>
      <c r="B30" s="112" t="n">
        <f aca="false">(I23-I7)/I7</f>
        <v>0.378947368421053</v>
      </c>
    </row>
    <row r="31" customFormat="false" ht="15" hidden="false" customHeight="true" outlineLevel="0" collapsed="false">
      <c r="A31" s="119" t="s">
        <v>280</v>
      </c>
      <c r="B31" s="112" t="n">
        <f aca="false">(L23-L7)/L7</f>
        <v>0.834465767212199</v>
      </c>
    </row>
    <row r="32" customFormat="false" ht="15" hidden="false" customHeight="true" outlineLevel="0" collapsed="false">
      <c r="A32" s="119" t="s">
        <v>281</v>
      </c>
      <c r="B32" s="135" t="n">
        <f aca="false">E7</f>
        <v>13.7848101265823</v>
      </c>
    </row>
    <row r="33" customFormat="false" ht="15" hidden="false" customHeight="true" outlineLevel="0" collapsed="false">
      <c r="A33" s="119" t="s">
        <v>282</v>
      </c>
      <c r="B33" s="135" t="n">
        <f aca="false">E23</f>
        <v>11.6771159874608</v>
      </c>
    </row>
    <row r="34" customFormat="false" ht="15" hidden="false" customHeight="true" outlineLevel="0" collapsed="false">
      <c r="A34" s="119" t="s">
        <v>283</v>
      </c>
      <c r="B34" s="135" t="n">
        <f aca="false">F7</f>
        <v>233.357142857143</v>
      </c>
    </row>
    <row r="35" customFormat="false" ht="15" hidden="false" customHeight="true" outlineLevel="0" collapsed="false">
      <c r="A35" s="119" t="s">
        <v>284</v>
      </c>
      <c r="B35" s="135" t="n">
        <f aca="false">F23</f>
        <v>174.609375</v>
      </c>
    </row>
    <row r="36" customFormat="false" ht="15" hidden="false" customHeight="true" outlineLevel="0" collapsed="false">
      <c r="A36" s="119" t="s">
        <v>285</v>
      </c>
      <c r="B36" s="135" t="n">
        <f aca="false">G7</f>
        <v>5.90717299578059</v>
      </c>
    </row>
    <row r="37" customFormat="false" ht="15" hidden="false" customHeight="true" outlineLevel="0" collapsed="false">
      <c r="A37" s="119" t="s">
        <v>286</v>
      </c>
      <c r="B37" s="135" t="n">
        <f aca="false">G23</f>
        <v>6.68756530825496</v>
      </c>
    </row>
    <row r="38" customFormat="false" ht="15" hidden="false" customHeight="true" outlineLevel="0" collapsed="false">
      <c r="A38" s="119" t="s">
        <v>287</v>
      </c>
      <c r="B38" s="110" t="n">
        <f aca="false">L7</f>
        <v>11116.0318334864</v>
      </c>
    </row>
    <row r="39" customFormat="false" ht="15" hidden="false" customHeight="true" outlineLevel="0" collapsed="false">
      <c r="A39" s="119" t="s">
        <v>288</v>
      </c>
      <c r="B39" s="110" t="n">
        <f aca="false">L23</f>
        <v>20391.9798657718</v>
      </c>
    </row>
    <row r="41" customFormat="false" ht="15" hidden="false" customHeight="true" outlineLevel="0" collapsed="false">
      <c r="A41" s="105" t="s">
        <v>289</v>
      </c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</row>
    <row r="42" customFormat="false" ht="15" hidden="false" customHeight="true" outlineLevel="0" collapsed="false">
      <c r="A42" s="140" t="s">
        <v>290</v>
      </c>
      <c r="B42" s="140" t="s">
        <v>24</v>
      </c>
      <c r="C42" s="140" t="s">
        <v>27</v>
      </c>
      <c r="D42" s="140" t="s">
        <v>28</v>
      </c>
      <c r="E42" s="140" t="s">
        <v>30</v>
      </c>
    </row>
    <row r="43" customFormat="false" ht="15" hidden="false" customHeight="true" outlineLevel="0" collapsed="false">
      <c r="A43" s="107" t="s">
        <v>291</v>
      </c>
      <c r="B43" s="141" t="n">
        <v>161.2</v>
      </c>
      <c r="C43" s="142" t="s">
        <v>29</v>
      </c>
      <c r="D43" s="141" t="n">
        <v>193.4</v>
      </c>
      <c r="E43" s="141" t="n">
        <v>163.4</v>
      </c>
    </row>
    <row r="44" customFormat="false" ht="15" hidden="false" customHeight="true" outlineLevel="0" collapsed="false">
      <c r="A44" s="143" t="s">
        <v>292</v>
      </c>
      <c r="B44" s="144" t="n">
        <v>28</v>
      </c>
      <c r="C44" s="145" t="s">
        <v>29</v>
      </c>
      <c r="D44" s="145" t="s">
        <v>29</v>
      </c>
      <c r="E44" s="144" t="n">
        <v>28</v>
      </c>
    </row>
    <row r="45" customFormat="false" ht="15" hidden="false" customHeight="true" outlineLevel="0" collapsed="false">
      <c r="A45" s="107" t="s">
        <v>293</v>
      </c>
      <c r="B45" s="141" t="n">
        <v>189.2</v>
      </c>
      <c r="C45" s="141" t="n">
        <v>195</v>
      </c>
      <c r="D45" s="141" t="n">
        <v>193.4</v>
      </c>
      <c r="E45" s="141" t="n">
        <v>191.4</v>
      </c>
    </row>
    <row r="46" customFormat="false" ht="15" hidden="false" customHeight="true" outlineLevel="0" collapsed="false">
      <c r="A46" s="143" t="s">
        <v>294</v>
      </c>
      <c r="B46" s="144" t="n">
        <v>21.6</v>
      </c>
      <c r="C46" s="145" t="s">
        <v>29</v>
      </c>
      <c r="D46" s="145" t="s">
        <v>29</v>
      </c>
      <c r="E46" s="144" t="n">
        <v>33</v>
      </c>
    </row>
    <row r="47" customFormat="false" ht="15" hidden="false" customHeight="true" outlineLevel="0" collapsed="false">
      <c r="A47" s="107" t="s">
        <v>295</v>
      </c>
      <c r="B47" s="146" t="n">
        <v>62.3</v>
      </c>
      <c r="C47" s="142" t="s">
        <v>29</v>
      </c>
      <c r="D47" s="142" t="s">
        <v>29</v>
      </c>
      <c r="E47" s="146" t="n">
        <v>57</v>
      </c>
    </row>
    <row r="48" customFormat="false" ht="15" hidden="false" customHeight="true" outlineLevel="0" collapsed="false">
      <c r="A48" s="143" t="s">
        <v>296</v>
      </c>
      <c r="B48" s="144" t="n">
        <v>4</v>
      </c>
      <c r="C48" s="144" t="n">
        <v>7.6</v>
      </c>
      <c r="D48" s="144" t="n">
        <v>8.4</v>
      </c>
      <c r="E48" s="144" t="n">
        <v>2.8</v>
      </c>
    </row>
    <row r="49" customFormat="false" ht="15" hidden="false" customHeight="true" outlineLevel="0" collapsed="false">
      <c r="A49" s="107" t="s">
        <v>297</v>
      </c>
      <c r="B49" s="146" t="n">
        <v>9.6</v>
      </c>
      <c r="C49" s="146" t="n">
        <v>8.2</v>
      </c>
      <c r="D49" s="146" t="n">
        <v>9.2</v>
      </c>
      <c r="E49" s="146" t="n">
        <v>10</v>
      </c>
    </row>
    <row r="50" customFormat="false" ht="15" hidden="false" customHeight="true" outlineLevel="0" collapsed="false">
      <c r="A50" s="143" t="s">
        <v>298</v>
      </c>
      <c r="B50" s="144" t="n">
        <v>13.6</v>
      </c>
      <c r="C50" s="144" t="n">
        <v>15.8</v>
      </c>
      <c r="D50" s="144" t="n">
        <v>17.6</v>
      </c>
      <c r="E50" s="144" t="n">
        <v>12.8</v>
      </c>
    </row>
    <row r="51" customFormat="false" ht="15" hidden="false" customHeight="true" outlineLevel="0" collapsed="false">
      <c r="A51" s="107" t="s">
        <v>299</v>
      </c>
      <c r="B51" s="146" t="n">
        <v>11.6</v>
      </c>
      <c r="C51" s="142" t="s">
        <v>29</v>
      </c>
      <c r="D51" s="142" t="s">
        <v>29</v>
      </c>
      <c r="E51" s="146" t="n">
        <v>16.6</v>
      </c>
    </row>
    <row r="52" customFormat="false" ht="15" hidden="false" customHeight="true" outlineLevel="0" collapsed="false">
      <c r="A52" s="143" t="s">
        <v>300</v>
      </c>
      <c r="B52" s="144" t="n">
        <v>17</v>
      </c>
      <c r="C52" s="145" t="s">
        <v>29</v>
      </c>
      <c r="D52" s="145" t="s">
        <v>29</v>
      </c>
      <c r="E52" s="144" t="n">
        <v>16</v>
      </c>
    </row>
    <row r="53" customFormat="false" ht="15" hidden="false" customHeight="true" outlineLevel="0" collapsed="false">
      <c r="A53" s="107" t="s">
        <v>301</v>
      </c>
      <c r="B53" s="146" t="n">
        <v>4.5</v>
      </c>
      <c r="C53" s="142" t="s">
        <v>29</v>
      </c>
      <c r="D53" s="142" t="s">
        <v>29</v>
      </c>
      <c r="E53" s="146" t="n">
        <v>4.5</v>
      </c>
    </row>
    <row r="54" customFormat="false" ht="15" hidden="false" customHeight="true" outlineLevel="0" collapsed="false">
      <c r="A54" s="143" t="s">
        <v>302</v>
      </c>
      <c r="B54" s="144" t="n">
        <v>4</v>
      </c>
      <c r="C54" s="145" t="s">
        <v>29</v>
      </c>
      <c r="D54" s="145" t="s">
        <v>29</v>
      </c>
      <c r="E54" s="144" t="n">
        <v>4</v>
      </c>
    </row>
    <row r="55" customFormat="false" ht="15" hidden="false" customHeight="true" outlineLevel="0" collapsed="false">
      <c r="A55" s="107" t="s">
        <v>303</v>
      </c>
      <c r="B55" s="141" t="n">
        <v>105.8</v>
      </c>
      <c r="C55" s="142" t="s">
        <v>29</v>
      </c>
      <c r="D55" s="142" t="s">
        <v>29</v>
      </c>
      <c r="E55" s="141" t="n">
        <v>102.3</v>
      </c>
    </row>
    <row r="56" customFormat="false" ht="15" hidden="false" customHeight="true" outlineLevel="0" collapsed="false">
      <c r="A56" s="143" t="s">
        <v>304</v>
      </c>
      <c r="B56" s="147" t="n">
        <v>2452</v>
      </c>
      <c r="C56" s="147" t="n">
        <v>2235</v>
      </c>
      <c r="D56" s="147" t="n">
        <v>2161</v>
      </c>
      <c r="E56" s="147" t="n">
        <v>2235</v>
      </c>
    </row>
    <row r="57" customFormat="false" ht="15" hidden="false" customHeight="true" outlineLevel="0" collapsed="false">
      <c r="A57" s="107" t="s">
        <v>305</v>
      </c>
      <c r="B57" s="146" t="n">
        <v>13</v>
      </c>
      <c r="C57" s="146" t="n">
        <v>11.5</v>
      </c>
      <c r="D57" s="146" t="n">
        <v>11.2</v>
      </c>
      <c r="E57" s="146" t="n">
        <v>11.7</v>
      </c>
    </row>
    <row r="59" customFormat="false" ht="15" hidden="false" customHeight="true" outlineLevel="0" collapsed="false">
      <c r="A59" s="81" t="s">
        <v>306</v>
      </c>
    </row>
    <row r="60" customFormat="false" ht="15" hidden="false" customHeight="true" outlineLevel="0" collapsed="false">
      <c r="A60" s="38" t="s">
        <v>307</v>
      </c>
    </row>
    <row r="61" customFormat="false" ht="15" hidden="false" customHeight="true" outlineLevel="0" collapsed="false">
      <c r="A61" s="38" t="s">
        <v>308</v>
      </c>
    </row>
    <row r="62" customFormat="false" ht="15" hidden="false" customHeight="true" outlineLevel="0" collapsed="false">
      <c r="A62" s="38" t="s">
        <v>309</v>
      </c>
    </row>
    <row r="63" customFormat="false" ht="15" hidden="false" customHeight="true" outlineLevel="0" collapsed="false">
      <c r="A63" s="38" t="s">
        <v>310</v>
      </c>
    </row>
    <row r="64" customFormat="false" ht="15" hidden="false" customHeight="true" outlineLevel="0" collapsed="false">
      <c r="A64" s="38" t="s">
        <v>311</v>
      </c>
    </row>
    <row r="65" customFormat="false" ht="15" hidden="false" customHeight="true" outlineLevel="0" collapsed="false">
      <c r="A65" s="38" t="s">
        <v>312</v>
      </c>
    </row>
    <row r="66" customFormat="false" ht="15" hidden="false" customHeight="true" outlineLevel="0" collapsed="false">
      <c r="A66" s="38" t="s">
        <v>313</v>
      </c>
    </row>
    <row r="67" customFormat="false" ht="15" hidden="false" customHeight="true" outlineLevel="0" collapsed="false">
      <c r="A67" s="38" t="s">
        <v>314</v>
      </c>
    </row>
    <row r="68" customFormat="false" ht="15" hidden="false" customHeight="true" outlineLevel="0" collapsed="false">
      <c r="A68" s="38" t="s">
        <v>315</v>
      </c>
    </row>
    <row r="69" customFormat="false" ht="15" hidden="false" customHeight="true" outlineLevel="0" collapsed="false">
      <c r="A69" s="38" t="s">
        <v>316</v>
      </c>
    </row>
    <row r="72" customFormat="false" ht="15" hidden="false" customHeight="true" outlineLevel="0" collapsed="false">
      <c r="A72" s="148" t="s">
        <v>317</v>
      </c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31"/>
    </row>
    <row r="73" customFormat="false" ht="34.5" hidden="false" customHeight="true" outlineLevel="0" collapsed="false">
      <c r="A73" s="149" t="s">
        <v>1</v>
      </c>
      <c r="B73" s="149" t="s">
        <v>318</v>
      </c>
      <c r="C73" s="149" t="s">
        <v>319</v>
      </c>
      <c r="D73" s="149" t="s">
        <v>320</v>
      </c>
      <c r="E73" s="149" t="s">
        <v>321</v>
      </c>
      <c r="F73" s="149" t="s">
        <v>322</v>
      </c>
      <c r="G73" s="149" t="s">
        <v>323</v>
      </c>
      <c r="H73" s="149" t="s">
        <v>324</v>
      </c>
      <c r="I73" s="149" t="s">
        <v>325</v>
      </c>
      <c r="J73" s="149" t="s">
        <v>326</v>
      </c>
      <c r="K73" s="149" t="s">
        <v>327</v>
      </c>
      <c r="L73" s="149" t="s">
        <v>328</v>
      </c>
      <c r="M73" s="149" t="s">
        <v>329</v>
      </c>
      <c r="N73" s="131"/>
    </row>
    <row r="74" customFormat="false" ht="15" hidden="false" customHeight="true" outlineLevel="0" collapsed="false">
      <c r="A74" s="44" t="s">
        <v>107</v>
      </c>
      <c r="B74" s="150" t="n">
        <v>3267</v>
      </c>
      <c r="C74" s="151" t="n">
        <v>205.1</v>
      </c>
      <c r="D74" s="151" t="n">
        <v>26.5</v>
      </c>
      <c r="E74" s="152" t="n">
        <f aca="false">C74+D74</f>
        <v>231.6</v>
      </c>
      <c r="F74" s="151" t="n">
        <v>10</v>
      </c>
      <c r="G74" s="153" t="n">
        <v>4</v>
      </c>
      <c r="H74" s="154" t="n">
        <f aca="false">F74+G74</f>
        <v>14</v>
      </c>
      <c r="I74" s="151" t="n">
        <v>14.6</v>
      </c>
      <c r="J74" s="154" t="n">
        <f aca="false">H74+I74</f>
        <v>28.6</v>
      </c>
      <c r="K74" s="154" t="n">
        <f aca="false">B74/E74</f>
        <v>14.1062176165803</v>
      </c>
      <c r="L74" s="154" t="n">
        <f aca="false">B74/H74</f>
        <v>233.357142857143</v>
      </c>
      <c r="M74" s="155" t="s">
        <v>330</v>
      </c>
      <c r="N74" s="131"/>
    </row>
    <row r="75" customFormat="false" ht="15" hidden="false" customHeight="true" outlineLevel="0" collapsed="false">
      <c r="A75" s="44" t="s">
        <v>108</v>
      </c>
      <c r="B75" s="150" t="n">
        <v>3265</v>
      </c>
      <c r="C75" s="151" t="n">
        <v>201.8</v>
      </c>
      <c r="D75" s="151" t="n">
        <v>26.5</v>
      </c>
      <c r="E75" s="152" t="n">
        <f aca="false">C75+D75</f>
        <v>228.3</v>
      </c>
      <c r="F75" s="151" t="n">
        <v>9</v>
      </c>
      <c r="G75" s="153" t="n">
        <v>4</v>
      </c>
      <c r="H75" s="154" t="n">
        <f aca="false">F75+G75</f>
        <v>13</v>
      </c>
      <c r="I75" s="151" t="n">
        <v>14.8</v>
      </c>
      <c r="J75" s="154" t="n">
        <f aca="false">H75+I75</f>
        <v>27.8</v>
      </c>
      <c r="K75" s="154" t="n">
        <f aca="false">B75/E75</f>
        <v>14.3013578624617</v>
      </c>
      <c r="L75" s="154" t="n">
        <f aca="false">B75/H75</f>
        <v>251.153846153846</v>
      </c>
      <c r="M75" s="155" t="s">
        <v>330</v>
      </c>
      <c r="N75" s="131"/>
    </row>
    <row r="76" customFormat="false" ht="15" hidden="false" customHeight="true" outlineLevel="0" collapsed="false">
      <c r="A76" s="44" t="s">
        <v>109</v>
      </c>
      <c r="B76" s="150" t="n">
        <v>3223</v>
      </c>
      <c r="C76" s="151" t="n">
        <v>194.3</v>
      </c>
      <c r="D76" s="151" t="n">
        <v>26.5</v>
      </c>
      <c r="E76" s="152" t="n">
        <f aca="false">C76+D76</f>
        <v>220.8</v>
      </c>
      <c r="F76" s="151" t="n">
        <v>9</v>
      </c>
      <c r="G76" s="153" t="n">
        <v>4</v>
      </c>
      <c r="H76" s="154" t="n">
        <f aca="false">F76+G76</f>
        <v>13</v>
      </c>
      <c r="I76" s="151" t="n">
        <v>13.1</v>
      </c>
      <c r="J76" s="154" t="n">
        <f aca="false">H76+I76</f>
        <v>26.1</v>
      </c>
      <c r="K76" s="154" t="n">
        <f aca="false">B76/E76</f>
        <v>14.5969202898551</v>
      </c>
      <c r="L76" s="154" t="n">
        <f aca="false">B76/H76</f>
        <v>247.923076923077</v>
      </c>
      <c r="M76" s="155" t="s">
        <v>330</v>
      </c>
      <c r="N76" s="131"/>
    </row>
    <row r="77" customFormat="false" ht="15" hidden="false" customHeight="true" outlineLevel="0" collapsed="false">
      <c r="A77" s="44" t="s">
        <v>110</v>
      </c>
      <c r="B77" s="150" t="n">
        <v>3210</v>
      </c>
      <c r="C77" s="151" t="n">
        <v>186.4</v>
      </c>
      <c r="D77" s="151" t="n">
        <v>26.6</v>
      </c>
      <c r="E77" s="152" t="n">
        <f aca="false">C77+D77</f>
        <v>213</v>
      </c>
      <c r="F77" s="151" t="n">
        <v>9</v>
      </c>
      <c r="G77" s="153" t="n">
        <v>4</v>
      </c>
      <c r="H77" s="154" t="n">
        <f aca="false">F77+G77</f>
        <v>13</v>
      </c>
      <c r="I77" s="151" t="n">
        <v>14.4</v>
      </c>
      <c r="J77" s="154" t="n">
        <f aca="false">H77+I77</f>
        <v>27.4</v>
      </c>
      <c r="K77" s="154" t="n">
        <f aca="false">B77/E77</f>
        <v>15.0704225352113</v>
      </c>
      <c r="L77" s="154" t="n">
        <f aca="false">B77/H77</f>
        <v>246.923076923077</v>
      </c>
      <c r="M77" s="155" t="s">
        <v>330</v>
      </c>
      <c r="N77" s="131"/>
    </row>
    <row r="78" customFormat="false" ht="15" hidden="false" customHeight="true" outlineLevel="0" collapsed="false">
      <c r="A78" s="44" t="s">
        <v>111</v>
      </c>
      <c r="B78" s="150" t="n">
        <v>3150</v>
      </c>
      <c r="C78" s="151" t="n">
        <v>181.4</v>
      </c>
      <c r="D78" s="151" t="n">
        <v>24.3</v>
      </c>
      <c r="E78" s="152" t="n">
        <f aca="false">C78+D78</f>
        <v>205.7</v>
      </c>
      <c r="F78" s="151" t="n">
        <v>9</v>
      </c>
      <c r="G78" s="153" t="n">
        <v>4</v>
      </c>
      <c r="H78" s="154" t="n">
        <f aca="false">F78+G78</f>
        <v>13</v>
      </c>
      <c r="I78" s="151" t="n">
        <v>14.2</v>
      </c>
      <c r="J78" s="154" t="n">
        <f aca="false">H78+I78</f>
        <v>27.2</v>
      </c>
      <c r="K78" s="154" t="n">
        <f aca="false">B78/E78</f>
        <v>15.3135634419057</v>
      </c>
      <c r="L78" s="154" t="n">
        <f aca="false">B78/H78</f>
        <v>242.307692307692</v>
      </c>
      <c r="M78" s="155" t="s">
        <v>330</v>
      </c>
      <c r="N78" s="131"/>
    </row>
    <row r="79" customFormat="false" ht="15" hidden="false" customHeight="true" outlineLevel="0" collapsed="false">
      <c r="A79" s="44" t="s">
        <v>112</v>
      </c>
      <c r="B79" s="150" t="n">
        <v>3100</v>
      </c>
      <c r="C79" s="151" t="n">
        <v>183.9</v>
      </c>
      <c r="D79" s="151" t="n">
        <v>23.2</v>
      </c>
      <c r="E79" s="152" t="n">
        <f aca="false">C79+D79</f>
        <v>207.1</v>
      </c>
      <c r="F79" s="151" t="n">
        <v>9</v>
      </c>
      <c r="G79" s="153" t="n">
        <v>4</v>
      </c>
      <c r="H79" s="154" t="n">
        <f aca="false">F79+G79</f>
        <v>13</v>
      </c>
      <c r="I79" s="151" t="n">
        <v>11.6</v>
      </c>
      <c r="J79" s="154" t="n">
        <f aca="false">H79+I79</f>
        <v>24.6</v>
      </c>
      <c r="K79" s="154" t="n">
        <f aca="false">B79/E79</f>
        <v>14.9686141960406</v>
      </c>
      <c r="L79" s="154" t="n">
        <f aca="false">B79/H79</f>
        <v>238.461538461538</v>
      </c>
      <c r="M79" s="155" t="s">
        <v>330</v>
      </c>
      <c r="N79" s="131"/>
    </row>
    <row r="80" customFormat="false" ht="15" hidden="false" customHeight="true" outlineLevel="0" collapsed="false">
      <c r="A80" s="44" t="s">
        <v>113</v>
      </c>
      <c r="B80" s="150" t="n">
        <v>2975</v>
      </c>
      <c r="C80" s="151" t="n">
        <v>175.8</v>
      </c>
      <c r="D80" s="151" t="n">
        <v>23</v>
      </c>
      <c r="E80" s="152" t="n">
        <f aca="false">C80+D80</f>
        <v>198.8</v>
      </c>
      <c r="F80" s="151" t="n">
        <v>9</v>
      </c>
      <c r="G80" s="153" t="n">
        <v>4</v>
      </c>
      <c r="H80" s="154" t="n">
        <f aca="false">F80+G80</f>
        <v>13</v>
      </c>
      <c r="I80" s="151" t="n">
        <v>12</v>
      </c>
      <c r="J80" s="154" t="n">
        <f aca="false">H80+I80</f>
        <v>25</v>
      </c>
      <c r="K80" s="154" t="n">
        <f aca="false">B80/E80</f>
        <v>14.9647887323944</v>
      </c>
      <c r="L80" s="154" t="n">
        <f aca="false">B80/H80</f>
        <v>228.846153846154</v>
      </c>
      <c r="M80" s="155" t="s">
        <v>330</v>
      </c>
      <c r="N80" s="131"/>
    </row>
    <row r="81" customFormat="false" ht="15" hidden="false" customHeight="true" outlineLevel="0" collapsed="false">
      <c r="A81" s="44" t="s">
        <v>114</v>
      </c>
      <c r="B81" s="150" t="n">
        <v>2850</v>
      </c>
      <c r="C81" s="151" t="n">
        <v>171.2</v>
      </c>
      <c r="D81" s="151" t="n">
        <v>24</v>
      </c>
      <c r="E81" s="152" t="n">
        <f aca="false">C81+D81</f>
        <v>195.2</v>
      </c>
      <c r="F81" s="151" t="n">
        <v>9</v>
      </c>
      <c r="G81" s="153" t="n">
        <v>4</v>
      </c>
      <c r="H81" s="154" t="n">
        <f aca="false">F81+G81</f>
        <v>13</v>
      </c>
      <c r="I81" s="151" t="n">
        <v>14</v>
      </c>
      <c r="J81" s="154" t="n">
        <f aca="false">H81+I81</f>
        <v>27</v>
      </c>
      <c r="K81" s="154" t="n">
        <f aca="false">B81/E81</f>
        <v>14.6004098360656</v>
      </c>
      <c r="L81" s="154" t="n">
        <f aca="false">B81/H81</f>
        <v>219.230769230769</v>
      </c>
      <c r="M81" s="155" t="s">
        <v>330</v>
      </c>
      <c r="N81" s="131"/>
    </row>
    <row r="82" customFormat="false" ht="15" hidden="false" customHeight="true" outlineLevel="0" collapsed="false">
      <c r="A82" s="44" t="s">
        <v>115</v>
      </c>
      <c r="B82" s="150" t="n">
        <v>2727</v>
      </c>
      <c r="C82" s="151" t="n">
        <v>166.3</v>
      </c>
      <c r="D82" s="151" t="n">
        <v>24</v>
      </c>
      <c r="E82" s="152" t="n">
        <f aca="false">C82+D82</f>
        <v>190.3</v>
      </c>
      <c r="F82" s="151" t="n">
        <v>10</v>
      </c>
      <c r="G82" s="153" t="n">
        <v>4</v>
      </c>
      <c r="H82" s="154" t="n">
        <f aca="false">F82+G82</f>
        <v>14</v>
      </c>
      <c r="I82" s="151" t="n">
        <v>13</v>
      </c>
      <c r="J82" s="154" t="n">
        <f aca="false">H82+I82</f>
        <v>27</v>
      </c>
      <c r="K82" s="154" t="n">
        <f aca="false">B82/E82</f>
        <v>14.3300052548607</v>
      </c>
      <c r="L82" s="154" t="n">
        <f aca="false">B82/H82</f>
        <v>194.785714285714</v>
      </c>
      <c r="M82" s="155" t="s">
        <v>330</v>
      </c>
      <c r="N82" s="131"/>
    </row>
    <row r="83" customFormat="false" ht="15" hidden="false" customHeight="true" outlineLevel="0" collapsed="false">
      <c r="A83" s="44" t="s">
        <v>116</v>
      </c>
      <c r="B83" s="150" t="n">
        <v>2488</v>
      </c>
      <c r="C83" s="151" t="n">
        <v>160.4</v>
      </c>
      <c r="D83" s="151" t="n">
        <v>24</v>
      </c>
      <c r="E83" s="152" t="n">
        <f aca="false">C83+D83</f>
        <v>184.4</v>
      </c>
      <c r="F83" s="151" t="n">
        <v>9.8</v>
      </c>
      <c r="G83" s="153" t="n">
        <v>4</v>
      </c>
      <c r="H83" s="154" t="n">
        <f aca="false">F83+G83</f>
        <v>13.8</v>
      </c>
      <c r="I83" s="151" t="n">
        <v>14</v>
      </c>
      <c r="J83" s="154" t="n">
        <f aca="false">H83+I83</f>
        <v>27.8</v>
      </c>
      <c r="K83" s="154" t="n">
        <f aca="false">B83/E83</f>
        <v>13.4924078091106</v>
      </c>
      <c r="L83" s="154" t="n">
        <f aca="false">B83/H83</f>
        <v>180.289855072464</v>
      </c>
      <c r="M83" s="155" t="s">
        <v>330</v>
      </c>
      <c r="N83" s="131"/>
    </row>
    <row r="84" customFormat="false" ht="15" hidden="false" customHeight="true" outlineLevel="0" collapsed="false">
      <c r="A84" s="44" t="s">
        <v>117</v>
      </c>
      <c r="B84" s="150" t="n">
        <v>2488</v>
      </c>
      <c r="C84" s="151" t="n">
        <v>161.7</v>
      </c>
      <c r="D84" s="151" t="n">
        <v>27</v>
      </c>
      <c r="E84" s="152" t="n">
        <f aca="false">C84+D84</f>
        <v>188.7</v>
      </c>
      <c r="F84" s="151" t="n">
        <v>9.6</v>
      </c>
      <c r="G84" s="153" t="n">
        <v>4</v>
      </c>
      <c r="H84" s="154" t="n">
        <f aca="false">F84+G84</f>
        <v>13.6</v>
      </c>
      <c r="I84" s="151" t="n">
        <v>13.4</v>
      </c>
      <c r="J84" s="154" t="n">
        <f aca="false">H84+I84</f>
        <v>27</v>
      </c>
      <c r="K84" s="154" t="n">
        <f aca="false">B84/E84</f>
        <v>13.1849496555379</v>
      </c>
      <c r="L84" s="154" t="n">
        <f aca="false">B84/H84</f>
        <v>182.941176470588</v>
      </c>
      <c r="M84" s="155" t="s">
        <v>330</v>
      </c>
      <c r="N84" s="131"/>
    </row>
    <row r="85" customFormat="false" ht="15" hidden="false" customHeight="true" outlineLevel="0" collapsed="false">
      <c r="A85" s="44" t="s">
        <v>118</v>
      </c>
      <c r="B85" s="150" t="n">
        <v>2452</v>
      </c>
      <c r="C85" s="151" t="n">
        <v>161.3</v>
      </c>
      <c r="D85" s="151" t="n">
        <v>26</v>
      </c>
      <c r="E85" s="152" t="n">
        <f aca="false">C85+D85</f>
        <v>187.3</v>
      </c>
      <c r="F85" s="151" t="n">
        <v>9.6</v>
      </c>
      <c r="G85" s="151" t="n">
        <v>4</v>
      </c>
      <c r="H85" s="154" t="n">
        <f aca="false">F85+G85</f>
        <v>13.6</v>
      </c>
      <c r="I85" s="151" t="n">
        <v>11.6</v>
      </c>
      <c r="J85" s="154" t="n">
        <f aca="false">H85+I85</f>
        <v>25.2</v>
      </c>
      <c r="K85" s="154" t="n">
        <f aca="false">B85/E85</f>
        <v>13.0912973838761</v>
      </c>
      <c r="L85" s="154" t="n">
        <f aca="false">B85/H85</f>
        <v>180.294117647059</v>
      </c>
      <c r="M85" s="156" t="s">
        <v>331</v>
      </c>
      <c r="N85" s="131"/>
    </row>
    <row r="86" customFormat="false" ht="15" hidden="false" customHeight="true" outlineLevel="0" collapsed="false">
      <c r="A86" s="44" t="s">
        <v>119</v>
      </c>
      <c r="B86" s="150" t="n">
        <v>2321</v>
      </c>
      <c r="C86" s="151" t="n">
        <v>160.8</v>
      </c>
      <c r="D86" s="151" t="n">
        <v>26</v>
      </c>
      <c r="E86" s="152" t="n">
        <f aca="false">C86+D86</f>
        <v>186.8</v>
      </c>
      <c r="F86" s="151" t="n">
        <v>9.6</v>
      </c>
      <c r="G86" s="153" t="n">
        <v>3.5</v>
      </c>
      <c r="H86" s="154" t="n">
        <f aca="false">F86+G86</f>
        <v>13.1</v>
      </c>
      <c r="I86" s="151" t="n">
        <v>13</v>
      </c>
      <c r="J86" s="154" t="n">
        <f aca="false">H86+I86</f>
        <v>26.1</v>
      </c>
      <c r="K86" s="154" t="n">
        <f aca="false">B86/E86</f>
        <v>12.4250535331906</v>
      </c>
      <c r="L86" s="154" t="n">
        <f aca="false">B86/H86</f>
        <v>177.175572519084</v>
      </c>
      <c r="M86" s="155" t="s">
        <v>330</v>
      </c>
      <c r="N86" s="131"/>
    </row>
    <row r="87" customFormat="false" ht="15" hidden="false" customHeight="true" outlineLevel="0" collapsed="false">
      <c r="A87" s="44" t="s">
        <v>120</v>
      </c>
      <c r="B87" s="150" t="n">
        <v>2321</v>
      </c>
      <c r="C87" s="151" t="n">
        <v>161.4</v>
      </c>
      <c r="D87" s="151" t="n">
        <v>25</v>
      </c>
      <c r="E87" s="152" t="n">
        <f aca="false">C87+D87</f>
        <v>186.4</v>
      </c>
      <c r="F87" s="151" t="n">
        <v>9.7</v>
      </c>
      <c r="G87" s="153" t="n">
        <v>3</v>
      </c>
      <c r="H87" s="154" t="n">
        <f aca="false">F87+G87</f>
        <v>12.7</v>
      </c>
      <c r="I87" s="151" t="n">
        <v>14</v>
      </c>
      <c r="J87" s="154" t="n">
        <f aca="false">H87+I87</f>
        <v>26.7</v>
      </c>
      <c r="K87" s="154" t="n">
        <f aca="false">B87/E87</f>
        <v>12.4517167381974</v>
      </c>
      <c r="L87" s="154" t="n">
        <f aca="false">B87/H87</f>
        <v>182.755905511811</v>
      </c>
      <c r="M87" s="155" t="s">
        <v>330</v>
      </c>
      <c r="N87" s="131"/>
    </row>
    <row r="88" customFormat="false" ht="15" hidden="false" customHeight="true" outlineLevel="0" collapsed="false">
      <c r="A88" s="44" t="s">
        <v>121</v>
      </c>
      <c r="B88" s="150" t="n">
        <v>2235</v>
      </c>
      <c r="C88" s="151" t="n">
        <v>161</v>
      </c>
      <c r="D88" s="151" t="n">
        <v>26</v>
      </c>
      <c r="E88" s="152" t="n">
        <f aca="false">C88+D88</f>
        <v>187</v>
      </c>
      <c r="F88" s="151" t="n">
        <v>9</v>
      </c>
      <c r="G88" s="151" t="n">
        <v>2.8</v>
      </c>
      <c r="H88" s="154" t="n">
        <f aca="false">F88+G88</f>
        <v>11.8</v>
      </c>
      <c r="I88" s="151" t="n">
        <v>15</v>
      </c>
      <c r="J88" s="154" t="n">
        <f aca="false">H88+I88</f>
        <v>26.8</v>
      </c>
      <c r="K88" s="154" t="n">
        <f aca="false">B88/E88</f>
        <v>11.951871657754</v>
      </c>
      <c r="L88" s="154" t="n">
        <f aca="false">B88/H88</f>
        <v>189.406779661017</v>
      </c>
      <c r="M88" s="156" t="s">
        <v>331</v>
      </c>
      <c r="N88" s="131"/>
    </row>
    <row r="89" customFormat="false" ht="15" hidden="false" customHeight="true" outlineLevel="0" collapsed="false">
      <c r="A89" s="44" t="s">
        <v>122</v>
      </c>
      <c r="B89" s="150" t="n">
        <v>2161</v>
      </c>
      <c r="C89" s="151" t="n">
        <v>162.4</v>
      </c>
      <c r="D89" s="151" t="n">
        <v>24</v>
      </c>
      <c r="E89" s="152" t="n">
        <f aca="false">C89+D89</f>
        <v>186.4</v>
      </c>
      <c r="F89" s="151" t="n">
        <v>10</v>
      </c>
      <c r="G89" s="151" t="n">
        <v>2.8</v>
      </c>
      <c r="H89" s="154" t="n">
        <f aca="false">F89+G89</f>
        <v>12.8</v>
      </c>
      <c r="I89" s="151" t="n">
        <v>16.6</v>
      </c>
      <c r="J89" s="154" t="n">
        <f aca="false">H89+I89</f>
        <v>29.4</v>
      </c>
      <c r="K89" s="154" t="n">
        <f aca="false">B89/E89</f>
        <v>11.593347639485</v>
      </c>
      <c r="L89" s="154" t="n">
        <f aca="false">B89/H89</f>
        <v>168.828125</v>
      </c>
      <c r="M89" s="156" t="s">
        <v>331</v>
      </c>
      <c r="N89" s="131"/>
    </row>
    <row r="90" customFormat="false" ht="15" hidden="false" customHeight="true" outlineLevel="0" collapsed="false">
      <c r="A90" s="44" t="s">
        <v>123</v>
      </c>
      <c r="B90" s="150" t="n">
        <v>2235</v>
      </c>
      <c r="C90" s="151" t="n">
        <v>161.5</v>
      </c>
      <c r="D90" s="151" t="n">
        <v>28</v>
      </c>
      <c r="E90" s="152" t="n">
        <f aca="false">C90+D90</f>
        <v>189.5</v>
      </c>
      <c r="F90" s="151" t="n">
        <v>9</v>
      </c>
      <c r="G90" s="151" t="n">
        <v>2.8</v>
      </c>
      <c r="H90" s="154" t="n">
        <f aca="false">F90+G90</f>
        <v>11.8</v>
      </c>
      <c r="I90" s="151" t="n">
        <v>16.7</v>
      </c>
      <c r="J90" s="154" t="n">
        <f aca="false">H90+I90</f>
        <v>28.5</v>
      </c>
      <c r="K90" s="154" t="n">
        <f aca="false">B90/E90</f>
        <v>11.7941952506596</v>
      </c>
      <c r="L90" s="154" t="n">
        <f aca="false">B90/H90</f>
        <v>189.406779661017</v>
      </c>
      <c r="M90" s="156" t="s">
        <v>331</v>
      </c>
      <c r="N90" s="131"/>
    </row>
    <row r="91" customFormat="false" ht="15" hidden="false" customHeight="true" outlineLevel="0" collapsed="false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</row>
    <row r="92" customFormat="false" ht="15" hidden="false" customHeight="true" outlineLevel="0" collapsed="false">
      <c r="A92" s="18" t="s">
        <v>332</v>
      </c>
      <c r="B92" s="27" t="n">
        <f aca="false">(B90-B74)/B74</f>
        <v>-0.315886134067952</v>
      </c>
      <c r="C92" s="157"/>
      <c r="D92" s="157"/>
      <c r="E92" s="27" t="n">
        <f aca="false">(E90-E74)/E74</f>
        <v>-0.181778929188256</v>
      </c>
      <c r="F92" s="27" t="n">
        <f aca="false">(F90-F74)/F74</f>
        <v>-0.1</v>
      </c>
      <c r="G92" s="157"/>
      <c r="H92" s="27" t="n">
        <f aca="false">(H90-H74)/H74</f>
        <v>-0.157142857142857</v>
      </c>
      <c r="I92" s="27" t="n">
        <f aca="false">(I90-I74)/I74</f>
        <v>0.143835616438356</v>
      </c>
      <c r="J92" s="27" t="n">
        <f aca="false">(J90-J74)/J74</f>
        <v>-0.00349650349650355</v>
      </c>
      <c r="K92" s="131"/>
      <c r="L92" s="131"/>
      <c r="M92" s="131"/>
      <c r="N92" s="131"/>
    </row>
    <row r="93" customFormat="false" ht="15" hidden="false" customHeight="true" outlineLevel="0" collapsed="false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</row>
    <row r="94" customFormat="false" ht="15" hidden="false" customHeight="true" outlineLevel="0" collapsed="false">
      <c r="A94" s="81" t="s">
        <v>333</v>
      </c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</row>
    <row r="95" customFormat="false" ht="15" hidden="false" customHeight="true" outlineLevel="0" collapsed="false">
      <c r="A95" s="158" t="s">
        <v>334</v>
      </c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</row>
    <row r="96" customFormat="false" ht="15" hidden="false" customHeight="true" outlineLevel="0" collapsed="false">
      <c r="A96" s="158" t="s">
        <v>335</v>
      </c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</row>
    <row r="97" customFormat="false" ht="15" hidden="false" customHeight="true" outlineLevel="0" collapsed="false">
      <c r="A97" s="158" t="s">
        <v>336</v>
      </c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</row>
    <row r="98" customFormat="false" ht="15" hidden="false" customHeight="true" outlineLevel="0" collapsed="false">
      <c r="A98" s="158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</row>
    <row r="99" customFormat="false" ht="15" hidden="false" customHeight="true" outlineLevel="0" collapsed="false">
      <c r="A99" s="158" t="s">
        <v>337</v>
      </c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</row>
    <row r="100" customFormat="false" ht="15" hidden="false" customHeight="true" outlineLevel="0" collapsed="false">
      <c r="A100" s="158" t="s">
        <v>338</v>
      </c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</row>
    <row r="101" customFormat="false" ht="15" hidden="false" customHeight="true" outlineLevel="0" collapsed="false">
      <c r="A101" s="158" t="s">
        <v>339</v>
      </c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</row>
    <row r="102" customFormat="false" ht="15" hidden="false" customHeight="true" outlineLevel="0" collapsed="false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</row>
    <row r="103" customFormat="false" ht="15" hidden="false" customHeight="true" outlineLevel="0" collapsed="false">
      <c r="A103" s="159" t="s">
        <v>340</v>
      </c>
      <c r="B103" s="159"/>
      <c r="C103" s="159"/>
      <c r="D103" s="159"/>
      <c r="E103" s="159"/>
      <c r="F103" s="159"/>
      <c r="G103" s="159"/>
      <c r="H103" s="159"/>
      <c r="I103" s="159"/>
      <c r="J103" s="159"/>
    </row>
    <row r="104" customFormat="false" ht="23.25" hidden="false" customHeight="true" outlineLevel="0" collapsed="false">
      <c r="A104" s="160" t="s">
        <v>1</v>
      </c>
      <c r="B104" s="160" t="s">
        <v>320</v>
      </c>
      <c r="C104" s="160" t="s">
        <v>341</v>
      </c>
      <c r="D104" s="160" t="s">
        <v>342</v>
      </c>
      <c r="E104" s="160" t="s">
        <v>319</v>
      </c>
      <c r="F104" s="160" t="s">
        <v>343</v>
      </c>
      <c r="G104" s="160" t="s">
        <v>344</v>
      </c>
      <c r="H104" s="160" t="s">
        <v>345</v>
      </c>
      <c r="I104" s="160" t="s">
        <v>346</v>
      </c>
      <c r="J104" s="160" t="s">
        <v>347</v>
      </c>
    </row>
    <row r="105" customFormat="false" ht="15" hidden="false" customHeight="true" outlineLevel="0" collapsed="false">
      <c r="A105" s="44" t="s">
        <v>107</v>
      </c>
      <c r="B105" s="151" t="n">
        <v>26.5</v>
      </c>
      <c r="C105" s="151" t="n">
        <v>50</v>
      </c>
      <c r="D105" s="161" t="n">
        <f aca="false">B105+C105</f>
        <v>76.5</v>
      </c>
      <c r="E105" s="151" t="n">
        <v>205.1</v>
      </c>
      <c r="F105" s="151" t="n">
        <v>25.8</v>
      </c>
      <c r="G105" s="151" t="n">
        <v>17.6</v>
      </c>
      <c r="H105" s="151" t="n">
        <v>4</v>
      </c>
      <c r="I105" s="154" t="n">
        <v>439.1</v>
      </c>
      <c r="J105" s="27" t="n">
        <f aca="false">D105/I105</f>
        <v>0.174219995445229</v>
      </c>
    </row>
    <row r="106" customFormat="false" ht="15" hidden="false" customHeight="true" outlineLevel="0" collapsed="false">
      <c r="A106" s="44" t="s">
        <v>108</v>
      </c>
      <c r="B106" s="151" t="n">
        <v>26.5</v>
      </c>
      <c r="C106" s="151" t="n">
        <v>50</v>
      </c>
      <c r="D106" s="161" t="n">
        <f aca="false">B106+C106</f>
        <v>76.5</v>
      </c>
      <c r="E106" s="151" t="n">
        <v>201.8</v>
      </c>
      <c r="F106" s="151" t="n">
        <v>26.5</v>
      </c>
      <c r="G106" s="151" t="n">
        <v>17.6</v>
      </c>
      <c r="H106" s="151" t="n">
        <v>4</v>
      </c>
      <c r="I106" s="154" t="n">
        <v>437.8</v>
      </c>
      <c r="J106" s="27" t="n">
        <f aca="false">D106/I106</f>
        <v>0.174737322978529</v>
      </c>
    </row>
    <row r="107" customFormat="false" ht="15" hidden="false" customHeight="true" outlineLevel="0" collapsed="false">
      <c r="A107" s="44" t="s">
        <v>109</v>
      </c>
      <c r="B107" s="151" t="n">
        <v>26.5</v>
      </c>
      <c r="C107" s="151" t="n">
        <v>47</v>
      </c>
      <c r="D107" s="161" t="n">
        <f aca="false">B107+C107</f>
        <v>73.5</v>
      </c>
      <c r="E107" s="151" t="n">
        <v>194.3</v>
      </c>
      <c r="F107" s="151" t="n">
        <v>25.5</v>
      </c>
      <c r="G107" s="151" t="n">
        <v>17.6</v>
      </c>
      <c r="H107" s="151" t="n">
        <v>4</v>
      </c>
      <c r="I107" s="154" t="n">
        <v>419.1</v>
      </c>
      <c r="J107" s="27" t="n">
        <f aca="false">D107/I107</f>
        <v>0.175375805297065</v>
      </c>
    </row>
    <row r="108" customFormat="false" ht="15" hidden="false" customHeight="true" outlineLevel="0" collapsed="false">
      <c r="A108" s="44" t="s">
        <v>110</v>
      </c>
      <c r="B108" s="151" t="n">
        <v>26.6</v>
      </c>
      <c r="C108" s="151" t="n">
        <v>54.5</v>
      </c>
      <c r="D108" s="161" t="n">
        <f aca="false">B108+C108</f>
        <v>81.1</v>
      </c>
      <c r="E108" s="151" t="n">
        <v>186.4</v>
      </c>
      <c r="F108" s="151" t="n">
        <v>27.5</v>
      </c>
      <c r="G108" s="151" t="n">
        <v>17.8</v>
      </c>
      <c r="H108" s="151" t="n">
        <v>4</v>
      </c>
      <c r="I108" s="154" t="n">
        <v>423.9</v>
      </c>
      <c r="J108" s="27" t="n">
        <f aca="false">D108/I108</f>
        <v>0.191318707242274</v>
      </c>
    </row>
    <row r="109" customFormat="false" ht="15" hidden="false" customHeight="true" outlineLevel="0" collapsed="false">
      <c r="A109" s="44" t="s">
        <v>111</v>
      </c>
      <c r="B109" s="151" t="n">
        <v>24.3</v>
      </c>
      <c r="C109" s="151" t="n">
        <v>51</v>
      </c>
      <c r="D109" s="161" t="n">
        <f aca="false">B109+C109</f>
        <v>75.3</v>
      </c>
      <c r="E109" s="151" t="n">
        <v>181.4</v>
      </c>
      <c r="F109" s="151" t="n">
        <v>28</v>
      </c>
      <c r="G109" s="151" t="n">
        <v>16.8</v>
      </c>
      <c r="H109" s="151" t="n">
        <v>4</v>
      </c>
      <c r="I109" s="154" t="n">
        <v>413.1</v>
      </c>
      <c r="J109" s="27" t="n">
        <f aca="false">D109/I109</f>
        <v>0.182280319535221</v>
      </c>
    </row>
    <row r="110" customFormat="false" ht="15" hidden="false" customHeight="true" outlineLevel="0" collapsed="false">
      <c r="A110" s="44" t="s">
        <v>112</v>
      </c>
      <c r="B110" s="151" t="n">
        <v>23.2</v>
      </c>
      <c r="C110" s="151" t="n">
        <v>53.5</v>
      </c>
      <c r="D110" s="161" t="n">
        <f aca="false">B110+C110</f>
        <v>76.7</v>
      </c>
      <c r="E110" s="151" t="n">
        <v>183.9</v>
      </c>
      <c r="F110" s="151" t="n">
        <v>28.2</v>
      </c>
      <c r="G110" s="151" t="n">
        <v>17.8</v>
      </c>
      <c r="H110" s="151" t="n">
        <v>4.2</v>
      </c>
      <c r="I110" s="154" t="n">
        <v>418.1</v>
      </c>
      <c r="J110" s="27" t="n">
        <f aca="false">D110/I110</f>
        <v>0.183448935661325</v>
      </c>
    </row>
    <row r="111" customFormat="false" ht="15" hidden="false" customHeight="true" outlineLevel="0" collapsed="false">
      <c r="A111" s="44" t="s">
        <v>113</v>
      </c>
      <c r="B111" s="151" t="n">
        <v>23</v>
      </c>
      <c r="C111" s="151" t="n">
        <v>55.5</v>
      </c>
      <c r="D111" s="161" t="n">
        <f aca="false">B111+C111</f>
        <v>78.5</v>
      </c>
      <c r="E111" s="151" t="n">
        <v>175.8</v>
      </c>
      <c r="F111" s="151" t="n">
        <v>30</v>
      </c>
      <c r="G111" s="151" t="n">
        <v>15.2</v>
      </c>
      <c r="H111" s="151" t="n">
        <v>4.2</v>
      </c>
      <c r="I111" s="154" t="n">
        <v>407.9</v>
      </c>
      <c r="J111" s="27" t="n">
        <f aca="false">D111/I111</f>
        <v>0.192449129688649</v>
      </c>
    </row>
    <row r="112" customFormat="false" ht="15" hidden="false" customHeight="true" outlineLevel="0" collapsed="false">
      <c r="A112" s="44" t="s">
        <v>114</v>
      </c>
      <c r="B112" s="151" t="n">
        <v>24</v>
      </c>
      <c r="C112" s="151" t="n">
        <v>60.5</v>
      </c>
      <c r="D112" s="161" t="n">
        <f aca="false">B112+C112</f>
        <v>84.5</v>
      </c>
      <c r="E112" s="151" t="n">
        <v>171.2</v>
      </c>
      <c r="F112" s="151" t="n">
        <v>31</v>
      </c>
      <c r="G112" s="151" t="n">
        <v>16</v>
      </c>
      <c r="H112" s="151" t="n">
        <v>4.2</v>
      </c>
      <c r="I112" s="154" t="n">
        <v>421.3</v>
      </c>
      <c r="J112" s="27" t="n">
        <f aca="false">D112/I112</f>
        <v>0.200569665321624</v>
      </c>
    </row>
    <row r="113" customFormat="false" ht="15" hidden="false" customHeight="true" outlineLevel="0" collapsed="false">
      <c r="A113" s="44" t="s">
        <v>115</v>
      </c>
      <c r="B113" s="151" t="n">
        <v>24</v>
      </c>
      <c r="C113" s="151" t="n">
        <v>57</v>
      </c>
      <c r="D113" s="161" t="n">
        <f aca="false">B113+C113</f>
        <v>81</v>
      </c>
      <c r="E113" s="151" t="n">
        <v>166.3</v>
      </c>
      <c r="F113" s="151" t="n">
        <v>32</v>
      </c>
      <c r="G113" s="151" t="n">
        <v>17</v>
      </c>
      <c r="H113" s="151" t="n">
        <v>4</v>
      </c>
      <c r="I113" s="154" t="n">
        <v>412.1</v>
      </c>
      <c r="J113" s="27" t="n">
        <f aca="false">D113/I113</f>
        <v>0.196554234409124</v>
      </c>
    </row>
    <row r="114" customFormat="false" ht="15" hidden="false" customHeight="true" outlineLevel="0" collapsed="false">
      <c r="A114" s="44" t="s">
        <v>116</v>
      </c>
      <c r="B114" s="151" t="n">
        <v>24</v>
      </c>
      <c r="C114" s="151" t="n">
        <v>52.3</v>
      </c>
      <c r="D114" s="161" t="n">
        <f aca="false">B114+C114</f>
        <v>76.3</v>
      </c>
      <c r="E114" s="151" t="n">
        <v>160.4</v>
      </c>
      <c r="F114" s="151" t="n">
        <v>33</v>
      </c>
      <c r="G114" s="151" t="n">
        <v>16</v>
      </c>
      <c r="H114" s="151" t="n">
        <v>4</v>
      </c>
      <c r="I114" s="154" t="n">
        <v>400.6</v>
      </c>
      <c r="J114" s="27" t="n">
        <f aca="false">D114/I114</f>
        <v>0.190464303544683</v>
      </c>
    </row>
    <row r="115" customFormat="false" ht="15" hidden="false" customHeight="true" outlineLevel="0" collapsed="false">
      <c r="A115" s="44" t="s">
        <v>117</v>
      </c>
      <c r="B115" s="151" t="n">
        <v>27</v>
      </c>
      <c r="C115" s="151" t="n">
        <v>62.3</v>
      </c>
      <c r="D115" s="161" t="n">
        <f aca="false">B115+C115</f>
        <v>89.3</v>
      </c>
      <c r="E115" s="151" t="n">
        <v>161.7</v>
      </c>
      <c r="F115" s="151" t="n">
        <v>33</v>
      </c>
      <c r="G115" s="151" t="n">
        <v>17.2</v>
      </c>
      <c r="H115" s="151" t="n">
        <v>4</v>
      </c>
      <c r="I115" s="154" t="n">
        <v>423.2</v>
      </c>
      <c r="J115" s="27" t="n">
        <f aca="false">D115/I115</f>
        <v>0.211011342155009</v>
      </c>
    </row>
    <row r="116" customFormat="false" ht="15" hidden="false" customHeight="true" outlineLevel="0" collapsed="false">
      <c r="A116" s="44" t="s">
        <v>118</v>
      </c>
      <c r="B116" s="151" t="n">
        <v>26</v>
      </c>
      <c r="C116" s="151" t="n">
        <v>62.3</v>
      </c>
      <c r="D116" s="161" t="n">
        <f aca="false">B116+C116</f>
        <v>88.3</v>
      </c>
      <c r="E116" s="151" t="n">
        <v>161.3</v>
      </c>
      <c r="F116" s="151" t="n">
        <v>33</v>
      </c>
      <c r="G116" s="151" t="n">
        <v>17</v>
      </c>
      <c r="H116" s="151" t="n">
        <v>4</v>
      </c>
      <c r="I116" s="154" t="n">
        <v>416.3</v>
      </c>
      <c r="J116" s="27" t="n">
        <f aca="false">D116/I116</f>
        <v>0.212106653855393</v>
      </c>
    </row>
    <row r="117" customFormat="false" ht="15" hidden="false" customHeight="true" outlineLevel="0" collapsed="false">
      <c r="A117" s="44" t="s">
        <v>119</v>
      </c>
      <c r="B117" s="151" t="n">
        <v>26</v>
      </c>
      <c r="C117" s="151" t="n">
        <v>62</v>
      </c>
      <c r="D117" s="161" t="n">
        <f aca="false">B117+C117</f>
        <v>88</v>
      </c>
      <c r="E117" s="151" t="n">
        <v>160.8</v>
      </c>
      <c r="F117" s="151" t="n">
        <v>33</v>
      </c>
      <c r="G117" s="151" t="n">
        <v>18</v>
      </c>
      <c r="H117" s="151" t="n">
        <v>4</v>
      </c>
      <c r="I117" s="154" t="n">
        <v>419.3</v>
      </c>
      <c r="J117" s="27" t="n">
        <f aca="false">D117/I117</f>
        <v>0.209873598855235</v>
      </c>
    </row>
    <row r="118" customFormat="false" ht="15" hidden="false" customHeight="true" outlineLevel="0" collapsed="false">
      <c r="A118" s="44" t="s">
        <v>120</v>
      </c>
      <c r="B118" s="151" t="n">
        <v>25</v>
      </c>
      <c r="C118" s="151" t="n">
        <v>63</v>
      </c>
      <c r="D118" s="161" t="n">
        <f aca="false">B118+C118</f>
        <v>88</v>
      </c>
      <c r="E118" s="151" t="n">
        <v>161.4</v>
      </c>
      <c r="F118" s="151" t="n">
        <v>33</v>
      </c>
      <c r="G118" s="151" t="n">
        <v>16</v>
      </c>
      <c r="H118" s="151" t="n">
        <v>4</v>
      </c>
      <c r="I118" s="154" t="n">
        <v>419.2</v>
      </c>
      <c r="J118" s="27" t="n">
        <f aca="false">D118/I118</f>
        <v>0.209923664122137</v>
      </c>
    </row>
    <row r="119" customFormat="false" ht="15" hidden="false" customHeight="true" outlineLevel="0" collapsed="false">
      <c r="A119" s="44" t="s">
        <v>121</v>
      </c>
      <c r="B119" s="151" t="n">
        <v>26</v>
      </c>
      <c r="C119" s="151" t="n">
        <v>61</v>
      </c>
      <c r="D119" s="161" t="n">
        <f aca="false">B119+C119</f>
        <v>87</v>
      </c>
      <c r="E119" s="151" t="n">
        <v>161</v>
      </c>
      <c r="F119" s="151" t="n">
        <v>34</v>
      </c>
      <c r="G119" s="151" t="n">
        <v>15</v>
      </c>
      <c r="H119" s="151" t="n">
        <v>4</v>
      </c>
      <c r="I119" s="154" t="n">
        <v>418</v>
      </c>
      <c r="J119" s="27" t="n">
        <f aca="false">D119/I119</f>
        <v>0.208133971291866</v>
      </c>
    </row>
    <row r="120" customFormat="false" ht="15" hidden="false" customHeight="true" outlineLevel="0" collapsed="false">
      <c r="A120" s="44" t="s">
        <v>122</v>
      </c>
      <c r="B120" s="151" t="n">
        <v>24</v>
      </c>
      <c r="C120" s="151" t="n">
        <v>57</v>
      </c>
      <c r="D120" s="161" t="n">
        <f aca="false">B120+C120</f>
        <v>81</v>
      </c>
      <c r="E120" s="151" t="n">
        <v>162.4</v>
      </c>
      <c r="F120" s="151" t="n">
        <v>33</v>
      </c>
      <c r="G120" s="151" t="n">
        <v>16</v>
      </c>
      <c r="H120" s="151" t="n">
        <v>4</v>
      </c>
      <c r="I120" s="154" t="n">
        <v>404.2</v>
      </c>
      <c r="J120" s="27" t="n">
        <f aca="false">D120/I120</f>
        <v>0.200395843641762</v>
      </c>
    </row>
    <row r="121" customFormat="false" ht="15" hidden="false" customHeight="true" outlineLevel="0" collapsed="false">
      <c r="A121" s="44" t="s">
        <v>123</v>
      </c>
      <c r="B121" s="151" t="n">
        <v>28</v>
      </c>
      <c r="C121" s="151" t="n">
        <v>65</v>
      </c>
      <c r="D121" s="161" t="n">
        <f aca="false">B121+C121</f>
        <v>93</v>
      </c>
      <c r="E121" s="151" t="n">
        <v>161.5</v>
      </c>
      <c r="F121" s="162" t="n">
        <v>89</v>
      </c>
      <c r="G121" s="151" t="n">
        <v>16.5</v>
      </c>
      <c r="H121" s="151" t="n">
        <v>4</v>
      </c>
      <c r="I121" s="154" t="n">
        <v>474.9</v>
      </c>
      <c r="J121" s="27" t="n">
        <f aca="false">D121/I121</f>
        <v>0.195830701200253</v>
      </c>
    </row>
    <row r="123" customFormat="false" ht="15" hidden="false" customHeight="true" outlineLevel="0" collapsed="false">
      <c r="A123" s="18" t="s">
        <v>332</v>
      </c>
      <c r="B123" s="27" t="n">
        <f aca="false">(B121-B105)/B105</f>
        <v>0.0566037735849057</v>
      </c>
      <c r="C123" s="27" t="n">
        <f aca="false">(C121-C105)/C105</f>
        <v>0.3</v>
      </c>
      <c r="D123" s="27" t="n">
        <f aca="false">(D121-D105)/D105</f>
        <v>0.215686274509804</v>
      </c>
      <c r="E123" s="27" t="n">
        <f aca="false">(E121-E105)/E105</f>
        <v>-0.212579229644076</v>
      </c>
    </row>
    <row r="125" customFormat="false" ht="15" hidden="false" customHeight="true" outlineLevel="0" collapsed="false">
      <c r="A125" s="81" t="s">
        <v>348</v>
      </c>
    </row>
    <row r="126" customFormat="false" ht="15" hidden="false" customHeight="true" outlineLevel="0" collapsed="false">
      <c r="A126" s="158" t="s">
        <v>349</v>
      </c>
    </row>
    <row r="127" customFormat="false" ht="15" hidden="false" customHeight="true" outlineLevel="0" collapsed="false">
      <c r="A127" s="158" t="s">
        <v>350</v>
      </c>
    </row>
    <row r="128" customFormat="false" ht="15" hidden="false" customHeight="true" outlineLevel="0" collapsed="false">
      <c r="A128" s="158" t="s">
        <v>351</v>
      </c>
    </row>
    <row r="129" customFormat="false" ht="15" hidden="false" customHeight="true" outlineLevel="0" collapsed="false">
      <c r="A129" s="158" t="s">
        <v>352</v>
      </c>
    </row>
    <row r="130" customFormat="false" ht="15" hidden="false" customHeight="true" outlineLevel="0" collapsed="false">
      <c r="A130" s="158" t="s">
        <v>353</v>
      </c>
    </row>
    <row r="131" customFormat="false" ht="15" hidden="false" customHeight="true" outlineLevel="0" collapsed="false">
      <c r="A131" s="158"/>
    </row>
    <row r="132" customFormat="false" ht="15" hidden="false" customHeight="true" outlineLevel="0" collapsed="false">
      <c r="A132" s="158" t="s">
        <v>354</v>
      </c>
    </row>
    <row r="133" customFormat="false" ht="15" hidden="false" customHeight="true" outlineLevel="0" collapsed="false">
      <c r="A133" s="158"/>
    </row>
    <row r="134" customFormat="false" ht="15" hidden="false" customHeight="true" outlineLevel="0" collapsed="false">
      <c r="A134" s="158" t="s">
        <v>355</v>
      </c>
    </row>
    <row r="137" customFormat="false" ht="15" hidden="false" customHeight="false" outlineLevel="0" collapsed="false">
      <c r="A137" s="163" t="s">
        <v>356</v>
      </c>
      <c r="B137" s="163"/>
      <c r="C137" s="163"/>
      <c r="D137" s="163"/>
      <c r="E137" s="163"/>
      <c r="F137" s="163"/>
    </row>
    <row r="138" customFormat="false" ht="23.85" hidden="false" customHeight="false" outlineLevel="0" collapsed="false">
      <c r="A138" s="164" t="s">
        <v>1</v>
      </c>
      <c r="B138" s="164" t="s">
        <v>357</v>
      </c>
      <c r="C138" s="164" t="s">
        <v>358</v>
      </c>
      <c r="D138" s="164" t="s">
        <v>359</v>
      </c>
      <c r="E138" s="164" t="s">
        <v>360</v>
      </c>
      <c r="F138" s="164" t="s">
        <v>361</v>
      </c>
    </row>
    <row r="139" customFormat="false" ht="15" hidden="false" customHeight="false" outlineLevel="0" collapsed="false">
      <c r="A139" s="165" t="s">
        <v>106</v>
      </c>
      <c r="B139" s="166" t="n">
        <v>729106</v>
      </c>
      <c r="C139" s="166" t="n">
        <v>1253249</v>
      </c>
      <c r="D139" s="167" t="n">
        <v>16884485</v>
      </c>
      <c r="E139" s="168" t="n">
        <f aca="false">C139/D139</f>
        <v>0.07422488752248</v>
      </c>
      <c r="F139" s="167" t="n">
        <v>729106</v>
      </c>
    </row>
    <row r="140" customFormat="false" ht="15" hidden="false" customHeight="false" outlineLevel="0" collapsed="false">
      <c r="A140" s="165" t="s">
        <v>107</v>
      </c>
      <c r="B140" s="166" t="n">
        <v>714526</v>
      </c>
      <c r="C140" s="166" t="n">
        <v>1343683</v>
      </c>
      <c r="D140" s="167" t="n">
        <v>16432127</v>
      </c>
      <c r="E140" s="168" t="n">
        <f aca="false">C140/D140</f>
        <v>0.0817717024704106</v>
      </c>
      <c r="F140" s="167" t="n">
        <v>756812</v>
      </c>
    </row>
    <row r="141" customFormat="false" ht="15" hidden="false" customHeight="false" outlineLevel="0" collapsed="false">
      <c r="A141" s="165" t="s">
        <v>108</v>
      </c>
      <c r="B141" s="166" t="n">
        <v>782570</v>
      </c>
      <c r="C141" s="166" t="n">
        <v>1588585</v>
      </c>
      <c r="D141" s="167" t="n">
        <v>16504036</v>
      </c>
      <c r="E141" s="168" t="n">
        <f aca="false">C141/D141</f>
        <v>0.0962543343943263</v>
      </c>
      <c r="F141" s="167" t="n">
        <v>754625</v>
      </c>
    </row>
    <row r="142" customFormat="false" ht="15" hidden="false" customHeight="false" outlineLevel="0" collapsed="false">
      <c r="A142" s="165" t="s">
        <v>109</v>
      </c>
      <c r="B142" s="166" t="n">
        <v>1016477</v>
      </c>
      <c r="C142" s="166" t="n">
        <v>1696379</v>
      </c>
      <c r="D142" s="167" t="n">
        <v>16784880</v>
      </c>
      <c r="E142" s="168" t="n">
        <f aca="false">C142/D142</f>
        <v>0.101065899785998</v>
      </c>
      <c r="F142" s="167" t="n">
        <v>767020</v>
      </c>
    </row>
    <row r="143" customFormat="false" ht="15" hidden="false" customHeight="false" outlineLevel="0" collapsed="false">
      <c r="A143" s="165" t="s">
        <v>110</v>
      </c>
      <c r="B143" s="166" t="n">
        <v>1045629</v>
      </c>
      <c r="C143" s="166" t="n">
        <v>1737763</v>
      </c>
      <c r="D143" s="167" t="n">
        <v>16893940</v>
      </c>
      <c r="E143" s="168" t="n">
        <f aca="false">C143/D143</f>
        <v>0.102863097655136</v>
      </c>
      <c r="F143" s="167" t="n">
        <v>791080</v>
      </c>
    </row>
    <row r="144" customFormat="false" ht="15" hidden="false" customHeight="false" outlineLevel="0" collapsed="false">
      <c r="A144" s="165" t="s">
        <v>111</v>
      </c>
      <c r="B144" s="166" t="n">
        <v>1122201</v>
      </c>
      <c r="C144" s="166" t="n">
        <v>1350978</v>
      </c>
      <c r="D144" s="167" t="n">
        <v>15772924</v>
      </c>
      <c r="E144" s="168" t="n">
        <f aca="false">C144/D144</f>
        <v>0.0856517155601587</v>
      </c>
      <c r="F144" s="167" t="n">
        <v>807120</v>
      </c>
    </row>
    <row r="145" customFormat="false" ht="15" hidden="false" customHeight="false" outlineLevel="0" collapsed="false">
      <c r="A145" s="165" t="s">
        <v>112</v>
      </c>
      <c r="B145" s="166" t="n">
        <v>1002760</v>
      </c>
      <c r="C145" s="166" t="n">
        <v>1567296</v>
      </c>
      <c r="D145" s="167" t="n">
        <v>16233804</v>
      </c>
      <c r="E145" s="168" t="n">
        <f aca="false">C145/D145</f>
        <v>0.0965452089972258</v>
      </c>
      <c r="F145" s="167" t="n">
        <v>818786</v>
      </c>
    </row>
    <row r="146" customFormat="false" ht="15" hidden="false" customHeight="false" outlineLevel="0" collapsed="false">
      <c r="A146" s="165" t="s">
        <v>113</v>
      </c>
      <c r="B146" s="166" t="n">
        <v>941618</v>
      </c>
      <c r="C146" s="166" t="n">
        <v>1516957</v>
      </c>
      <c r="D146" s="167" t="n">
        <v>16445568</v>
      </c>
      <c r="E146" s="168" t="n">
        <f aca="false">C146/D146</f>
        <v>0.0922410828254761</v>
      </c>
      <c r="F146" s="167" t="n">
        <v>832639</v>
      </c>
    </row>
    <row r="147" customFormat="false" ht="15" hidden="false" customHeight="false" outlineLevel="0" collapsed="false">
      <c r="A147" s="165" t="s">
        <v>114</v>
      </c>
      <c r="B147" s="166" t="n">
        <v>782635</v>
      </c>
      <c r="C147" s="166" t="n">
        <v>1395486</v>
      </c>
      <c r="D147" s="167" t="n">
        <v>16990456</v>
      </c>
      <c r="E147" s="168" t="n">
        <f aca="false">C147/D147</f>
        <v>0.0821335224905088</v>
      </c>
      <c r="F147" s="167" t="n">
        <v>833368</v>
      </c>
    </row>
    <row r="148" customFormat="false" ht="15" hidden="false" customHeight="false" outlineLevel="0" collapsed="false">
      <c r="A148" s="165" t="s">
        <v>115</v>
      </c>
      <c r="B148" s="166" t="n">
        <v>1004860</v>
      </c>
      <c r="C148" s="166" t="n">
        <v>1657614</v>
      </c>
      <c r="D148" s="167" t="n">
        <v>17265540</v>
      </c>
      <c r="E148" s="168" t="n">
        <f aca="false">C148/D148</f>
        <v>0.0960070753651493</v>
      </c>
      <c r="F148" s="167" t="n">
        <v>843576</v>
      </c>
    </row>
    <row r="149" customFormat="false" ht="15" hidden="false" customHeight="false" outlineLevel="0" collapsed="false">
      <c r="A149" s="165" t="s">
        <v>116</v>
      </c>
      <c r="B149" s="166" t="n">
        <v>860562</v>
      </c>
      <c r="C149" s="166" t="n">
        <v>1579325</v>
      </c>
      <c r="D149" s="167" t="n">
        <v>17850000</v>
      </c>
      <c r="E149" s="168" t="n">
        <f aca="false">C149/D149</f>
        <v>0.0884775910364146</v>
      </c>
      <c r="F149" s="167" t="n">
        <v>861803</v>
      </c>
    </row>
    <row r="150" customFormat="false" ht="15" hidden="false" customHeight="false" outlineLevel="0" collapsed="false">
      <c r="A150" s="165" t="s">
        <v>117</v>
      </c>
      <c r="B150" s="166" t="n">
        <v>874951</v>
      </c>
      <c r="C150" s="166" t="n">
        <v>1642333</v>
      </c>
      <c r="D150" s="167" t="n">
        <v>17951144</v>
      </c>
      <c r="E150" s="168" t="n">
        <f aca="false">C150/D150</f>
        <v>0.091489043818043</v>
      </c>
      <c r="F150" s="167" t="n">
        <v>882947</v>
      </c>
    </row>
    <row r="151" customFormat="false" ht="15" hidden="false" customHeight="false" outlineLevel="0" collapsed="false">
      <c r="A151" s="165" t="s">
        <v>118</v>
      </c>
      <c r="B151" s="166" t="n">
        <v>916343</v>
      </c>
      <c r="C151" s="166" t="n">
        <v>1683540</v>
      </c>
      <c r="D151" s="167" t="n">
        <v>18092760</v>
      </c>
      <c r="E151" s="168" t="n">
        <f aca="false">C151/D151</f>
        <v>0.0930504798604525</v>
      </c>
      <c r="F151" s="167" t="n">
        <v>898988</v>
      </c>
    </row>
    <row r="152" customFormat="false" ht="15" hidden="false" customHeight="false" outlineLevel="0" collapsed="false">
      <c r="A152" s="165" t="s">
        <v>119</v>
      </c>
      <c r="B152" s="166" t="n">
        <v>1045603</v>
      </c>
      <c r="C152" s="166" t="n">
        <v>1721911</v>
      </c>
      <c r="D152" s="167" t="n">
        <v>18268856</v>
      </c>
      <c r="E152" s="168" t="n">
        <f aca="false">C152/D152</f>
        <v>0.0942539040211385</v>
      </c>
      <c r="F152" s="167" t="n">
        <v>909924</v>
      </c>
    </row>
    <row r="153" customFormat="false" ht="15" hidden="false" customHeight="false" outlineLevel="0" collapsed="false">
      <c r="A153" s="165" t="s">
        <v>120</v>
      </c>
      <c r="B153" s="166" t="n">
        <v>1118393</v>
      </c>
      <c r="C153" s="166" t="n">
        <v>1863938</v>
      </c>
      <c r="D153" s="167" t="n">
        <v>18737000</v>
      </c>
      <c r="E153" s="168" t="n">
        <f aca="false">C153/D153</f>
        <v>0.0994789987724823</v>
      </c>
      <c r="F153" s="167" t="n">
        <v>952942</v>
      </c>
    </row>
    <row r="154" customFormat="false" ht="15" hidden="false" customHeight="false" outlineLevel="0" collapsed="false">
      <c r="A154" s="165" t="s">
        <v>121</v>
      </c>
      <c r="B154" s="166" t="n">
        <v>1096201</v>
      </c>
      <c r="C154" s="166" t="n">
        <v>1842053</v>
      </c>
      <c r="D154" s="167" t="n">
        <v>18797000</v>
      </c>
      <c r="E154" s="168" t="n">
        <f aca="false">C154/D154</f>
        <v>0.0979971804011278</v>
      </c>
      <c r="F154" s="167" t="n">
        <v>1028769</v>
      </c>
    </row>
    <row r="155" customFormat="false" ht="15" hidden="false" customHeight="false" outlineLevel="0" collapsed="false">
      <c r="A155" s="165" t="s">
        <v>122</v>
      </c>
      <c r="B155" s="166" t="n">
        <v>1087399</v>
      </c>
      <c r="C155" s="169" t="n">
        <v>1933000</v>
      </c>
      <c r="D155" s="167" t="n">
        <v>19186700</v>
      </c>
      <c r="E155" s="168" t="n">
        <f aca="false">C155/D155</f>
        <v>0.1007468715308</v>
      </c>
      <c r="F155" s="167" t="n">
        <v>1071057</v>
      </c>
    </row>
    <row r="156" customFormat="false" ht="15" hidden="false" customHeight="false" outlineLevel="0" collapsed="false">
      <c r="A156" s="165" t="s">
        <v>123</v>
      </c>
      <c r="B156" s="166" t="n">
        <v>1123290</v>
      </c>
      <c r="C156" s="166" t="n">
        <v>2023725</v>
      </c>
      <c r="D156" s="167" t="n">
        <v>20474019</v>
      </c>
      <c r="E156" s="168" t="n">
        <f aca="false">C156/D156</f>
        <v>0.0988435636403385</v>
      </c>
      <c r="F156" s="167" t="n">
        <v>1103137</v>
      </c>
    </row>
    <row r="158" customFormat="false" ht="15" hidden="false" customHeight="false" outlineLevel="0" collapsed="false">
      <c r="A158" s="170" t="s">
        <v>362</v>
      </c>
      <c r="B158" s="168" t="n">
        <f aca="false">(B156-B139)/B139</f>
        <v>0.540640181263081</v>
      </c>
      <c r="C158" s="168" t="n">
        <f aca="false">(C156-C139)/C139</f>
        <v>0.614782856399646</v>
      </c>
    </row>
    <row r="160" customFormat="false" ht="15" hidden="false" customHeight="false" outlineLevel="0" collapsed="false">
      <c r="A160" s="171" t="s">
        <v>348</v>
      </c>
    </row>
    <row r="161" customFormat="false" ht="15" hidden="false" customHeight="false" outlineLevel="0" collapsed="false">
      <c r="A161" s="172" t="s">
        <v>363</v>
      </c>
    </row>
    <row r="162" customFormat="false" ht="15" hidden="false" customHeight="false" outlineLevel="0" collapsed="false">
      <c r="A162" s="172" t="s">
        <v>364</v>
      </c>
    </row>
    <row r="163" customFormat="false" ht="15" hidden="false" customHeight="false" outlineLevel="0" collapsed="false">
      <c r="A163" s="172" t="s">
        <v>365</v>
      </c>
    </row>
    <row r="164" customFormat="false" ht="15" hidden="false" customHeight="false" outlineLevel="0" collapsed="false">
      <c r="A164" s="172" t="s">
        <v>366</v>
      </c>
    </row>
    <row r="165" customFormat="false" ht="15" hidden="false" customHeight="false" outlineLevel="0" collapsed="false">
      <c r="A165" s="172" t="s">
        <v>367</v>
      </c>
    </row>
    <row r="166" customFormat="false" ht="15" hidden="false" customHeight="false" outlineLevel="0" collapsed="false">
      <c r="A166" s="172" t="s">
        <v>368</v>
      </c>
    </row>
    <row r="167" customFormat="false" ht="15" hidden="false" customHeight="false" outlineLevel="0" collapsed="false">
      <c r="A167" s="172"/>
    </row>
    <row r="168" customFormat="false" ht="15" hidden="false" customHeight="false" outlineLevel="0" collapsed="false">
      <c r="A168" s="172" t="s">
        <v>369</v>
      </c>
    </row>
    <row r="169" customFormat="false" ht="15" hidden="false" customHeight="false" outlineLevel="0" collapsed="false">
      <c r="A169" s="172" t="s">
        <v>370</v>
      </c>
    </row>
  </sheetData>
  <mergeCells count="6">
    <mergeCell ref="A5:M5"/>
    <mergeCell ref="A25:M25"/>
    <mergeCell ref="A41:M41"/>
    <mergeCell ref="A72:M72"/>
    <mergeCell ref="A103:J103"/>
    <mergeCell ref="A137:F1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2026-02-18T01:17:03Z</dcterms:created>
  <dc:creator>openpyxl</dc:creator>
  <dc:description/>
  <dc:language>en-US</dc:language>
  <cp:lastModifiedBy/>
  <dcterms:modified xsi:type="dcterms:W3CDTF">2026-03-05T20:12:42Z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